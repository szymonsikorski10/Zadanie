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zymo\Downloads\"/>
    </mc:Choice>
  </mc:AlternateContent>
  <xr:revisionPtr revIDLastSave="0" documentId="8_{6F0F964D-184A-4688-BFA5-7ED003F1E896}" xr6:coauthVersionLast="47" xr6:coauthVersionMax="47" xr10:uidLastSave="{00000000-0000-0000-0000-000000000000}"/>
  <bookViews>
    <workbookView xWindow="30" yWindow="30" windowWidth="28770" windowHeight="15450" xr2:uid="{FE71BFB7-D1C7-4CD8-88AC-198EA6F0EB03}"/>
  </bookViews>
  <sheets>
    <sheet name="Zestawienie i wnioski" sheetId="8" r:id="rId1"/>
    <sheet name="esg_final" sheetId="6" r:id="rId2"/>
    <sheet name="lokalizacje" sheetId="5" r:id="rId3"/>
    <sheet name="historia_zmian" sheetId="4" r:id="rId4"/>
    <sheet name="dostawca_B" sheetId="3" r:id="rId5"/>
    <sheet name="dostawca_A" sheetId="2" r:id="rId6"/>
    <sheet name="odczyty_czyste" sheetId="7" r:id="rId7"/>
  </sheets>
  <definedNames>
    <definedName name="ExternalData_1" localSheetId="5" hidden="1">dostawca_A!$A$1:$H$47</definedName>
    <definedName name="ExternalData_2" localSheetId="4" hidden="1">dostawca_B!$A$1:$H$46</definedName>
    <definedName name="ExternalData_2" localSheetId="6" hidden="1">odczyty_czyste!$A$1:$J$89</definedName>
    <definedName name="ExternalData_3" localSheetId="3" hidden="1">historia_zmian!$A$1:$G$6</definedName>
    <definedName name="ExternalData_4" localSheetId="2" hidden="1">lokalizacje!$A$1:$D$31</definedName>
    <definedName name="ExternalData_5" localSheetId="1" hidden="1">esg_final!$A$1:$L$92</definedName>
  </definedNames>
  <calcPr calcId="191029"/>
  <pivotCaches>
    <pivotCache cacheId="15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2" i="6" l="1"/>
  <c r="O2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68" i="6"/>
  <c r="O46" i="6"/>
  <c r="O47" i="6"/>
  <c r="O48" i="6"/>
  <c r="O49" i="6"/>
  <c r="O50" i="6"/>
  <c r="O51" i="6"/>
  <c r="O52" i="6"/>
  <c r="O53" i="6"/>
  <c r="O54" i="6"/>
  <c r="O56" i="6"/>
  <c r="O55" i="6"/>
  <c r="O57" i="6"/>
  <c r="O58" i="6"/>
  <c r="O59" i="6"/>
  <c r="O60" i="6"/>
  <c r="O61" i="6"/>
  <c r="O62" i="6"/>
  <c r="O63" i="6"/>
  <c r="O64" i="6"/>
  <c r="O65" i="6"/>
  <c r="O66" i="6"/>
  <c r="O67" i="6"/>
  <c r="O69" i="6"/>
  <c r="O70" i="6"/>
  <c r="O71" i="6"/>
  <c r="O72" i="6"/>
  <c r="O73" i="6"/>
  <c r="O74" i="6"/>
  <c r="O75" i="6"/>
  <c r="O77" i="6"/>
  <c r="O76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M2" i="6"/>
  <c r="N2" i="6" s="1"/>
  <c r="M3" i="6"/>
  <c r="N3" i="6" s="1"/>
  <c r="M4" i="6"/>
  <c r="N4" i="6" s="1"/>
  <c r="M5" i="6"/>
  <c r="N5" i="6" s="1"/>
  <c r="M6" i="6"/>
  <c r="N6" i="6" s="1"/>
  <c r="M7" i="6"/>
  <c r="N7" i="6" s="1"/>
  <c r="M8" i="6"/>
  <c r="N8" i="6" s="1"/>
  <c r="N9" i="6"/>
  <c r="M10" i="6"/>
  <c r="N10" i="6" s="1"/>
  <c r="M11" i="6"/>
  <c r="N11" i="6" s="1"/>
  <c r="M13" i="6"/>
  <c r="N13" i="6" s="1"/>
  <c r="M14" i="6"/>
  <c r="N14" i="6" s="1"/>
  <c r="M15" i="6"/>
  <c r="N15" i="6" s="1"/>
  <c r="M16" i="6"/>
  <c r="N16" i="6" s="1"/>
  <c r="M17" i="6"/>
  <c r="N17" i="6" s="1"/>
  <c r="N18" i="6"/>
  <c r="M19" i="6"/>
  <c r="N19" i="6" s="1"/>
  <c r="M20" i="6"/>
  <c r="N20" i="6" s="1"/>
  <c r="M21" i="6"/>
  <c r="N21" i="6" s="1"/>
  <c r="M22" i="6"/>
  <c r="N22" i="6" s="1"/>
  <c r="M23" i="6"/>
  <c r="N23" i="6" s="1"/>
  <c r="M24" i="6"/>
  <c r="N24" i="6" s="1"/>
  <c r="M25" i="6"/>
  <c r="N25" i="6" s="1"/>
  <c r="M26" i="6"/>
  <c r="N26" i="6" s="1"/>
  <c r="M27" i="6"/>
  <c r="N27" i="6" s="1"/>
  <c r="M28" i="6"/>
  <c r="N28" i="6" s="1"/>
  <c r="M29" i="6"/>
  <c r="N29" i="6" s="1"/>
  <c r="M30" i="6"/>
  <c r="N30" i="6" s="1"/>
  <c r="M31" i="6"/>
  <c r="N31" i="6" s="1"/>
  <c r="M32" i="6"/>
  <c r="N32" i="6" s="1"/>
  <c r="N33" i="6"/>
  <c r="M34" i="6"/>
  <c r="N34" i="6" s="1"/>
  <c r="M35" i="6"/>
  <c r="N35" i="6" s="1"/>
  <c r="M36" i="6"/>
  <c r="N36" i="6" s="1"/>
  <c r="M37" i="6"/>
  <c r="N37" i="6" s="1"/>
  <c r="M38" i="6"/>
  <c r="N38" i="6" s="1"/>
  <c r="M39" i="6"/>
  <c r="N39" i="6" s="1"/>
  <c r="M40" i="6"/>
  <c r="N40" i="6" s="1"/>
  <c r="M41" i="6"/>
  <c r="N41" i="6" s="1"/>
  <c r="M42" i="6"/>
  <c r="N42" i="6" s="1"/>
  <c r="M43" i="6"/>
  <c r="N43" i="6" s="1"/>
  <c r="M44" i="6"/>
  <c r="N44" i="6" s="1"/>
  <c r="M45" i="6"/>
  <c r="N45" i="6" s="1"/>
  <c r="M68" i="6"/>
  <c r="N68" i="6" s="1"/>
  <c r="N46" i="6"/>
  <c r="M47" i="6"/>
  <c r="N47" i="6" s="1"/>
  <c r="M48" i="6"/>
  <c r="N48" i="6" s="1"/>
  <c r="M49" i="6"/>
  <c r="N49" i="6" s="1"/>
  <c r="M50" i="6"/>
  <c r="N50" i="6" s="1"/>
  <c r="M51" i="6"/>
  <c r="N51" i="6" s="1"/>
  <c r="M52" i="6"/>
  <c r="N52" i="6" s="1"/>
  <c r="M53" i="6"/>
  <c r="N53" i="6" s="1"/>
  <c r="M54" i="6"/>
  <c r="N54" i="6" s="1"/>
  <c r="M56" i="6"/>
  <c r="N56" i="6" s="1"/>
  <c r="N55" i="6"/>
  <c r="M57" i="6"/>
  <c r="N57" i="6" s="1"/>
  <c r="M58" i="6"/>
  <c r="N58" i="6" s="1"/>
  <c r="M59" i="6"/>
  <c r="N59" i="6" s="1"/>
  <c r="M60" i="6"/>
  <c r="N60" i="6" s="1"/>
  <c r="M61" i="6"/>
  <c r="N61" i="6" s="1"/>
  <c r="M62" i="6"/>
  <c r="N62" i="6" s="1"/>
  <c r="M63" i="6"/>
  <c r="N63" i="6" s="1"/>
  <c r="M64" i="6"/>
  <c r="N64" i="6" s="1"/>
  <c r="M65" i="6"/>
  <c r="N65" i="6" s="1"/>
  <c r="M66" i="6"/>
  <c r="N66" i="6" s="1"/>
  <c r="M67" i="6"/>
  <c r="N67" i="6" s="1"/>
  <c r="M69" i="6"/>
  <c r="N69" i="6" s="1"/>
  <c r="M70" i="6"/>
  <c r="N70" i="6" s="1"/>
  <c r="M71" i="6"/>
  <c r="N71" i="6" s="1"/>
  <c r="M72" i="6"/>
  <c r="N72" i="6" s="1"/>
  <c r="M73" i="6"/>
  <c r="N73" i="6" s="1"/>
  <c r="M74" i="6"/>
  <c r="N74" i="6" s="1"/>
  <c r="M75" i="6"/>
  <c r="N75" i="6" s="1"/>
  <c r="M77" i="6"/>
  <c r="N77" i="6" s="1"/>
  <c r="M76" i="6"/>
  <c r="N76" i="6" s="1"/>
  <c r="M78" i="6"/>
  <c r="N78" i="6" s="1"/>
  <c r="M79" i="6"/>
  <c r="N79" i="6" s="1"/>
  <c r="M80" i="6"/>
  <c r="N80" i="6" s="1"/>
  <c r="M81" i="6"/>
  <c r="N81" i="6" s="1"/>
  <c r="M82" i="6"/>
  <c r="N82" i="6" s="1"/>
  <c r="M83" i="6"/>
  <c r="N83" i="6" s="1"/>
  <c r="M84" i="6"/>
  <c r="N84" i="6" s="1"/>
  <c r="M85" i="6"/>
  <c r="N85" i="6" s="1"/>
  <c r="M86" i="6"/>
  <c r="N86" i="6" s="1"/>
  <c r="M87" i="6"/>
  <c r="N87" i="6" s="1"/>
  <c r="M90" i="6"/>
  <c r="N90" i="6" s="1"/>
  <c r="M91" i="6"/>
  <c r="N91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144395-F729-4174-A262-61047E314330}" keepAlive="1" name="Query - dostawca_A" description="Connection to the 'dostawca_A' query in the workbook." type="5" refreshedVersion="8" background="1" saveData="1">
    <dbPr connection="Provider=Microsoft.Mashup.OleDb.1;Data Source=$Workbook$;Location=dostawca_A;Extended Properties=&quot;&quot;" command="SELECT * FROM [dostawca_A]"/>
  </connection>
  <connection id="2" xr16:uid="{7BD60C3E-36A1-4F83-A1F5-86F1C483D194}" keepAlive="1" name="Query - dostawca_B" description="Connection to the 'dostawca_B' query in the workbook." type="5" refreshedVersion="8" background="1" saveData="1">
    <dbPr connection="Provider=Microsoft.Mashup.OleDb.1;Data Source=$Workbook$;Location=dostawca_B;Extended Properties=&quot;&quot;" command="SELECT * FROM [dostawca_B]"/>
  </connection>
  <connection id="3" xr16:uid="{16A75F34-9FAC-4059-A365-DF5A66A6F568}" keepAlive="1" name="Query - esg_final" description="Connection to the 'esg_final' query in the workbook." type="5" refreshedVersion="8" background="1" saveData="1">
    <dbPr connection="Provider=Microsoft.Mashup.OleDb.1;Data Source=$Workbook$;Location=esg_final;Extended Properties=&quot;&quot;" command="SELECT * FROM [esg_final]"/>
  </connection>
  <connection id="4" xr16:uid="{A6A1CA11-12D9-4533-ACD9-08C0A80ED590}" keepAlive="1" name="Query - historia_zmian" description="Connection to the 'historia_zmian' query in the workbook." type="5" refreshedVersion="8" background="1" saveData="1">
    <dbPr connection="Provider=Microsoft.Mashup.OleDb.1;Data Source=$Workbook$;Location=historia_zmian;Extended Properties=&quot;&quot;" command="SELECT * FROM [historia_zmian]"/>
  </connection>
  <connection id="5" xr16:uid="{E8ACBB5C-F3EB-4DEB-9DBC-B8FCC86847CC}" keepAlive="1" name="Query - lokalizacje" description="Connection to the 'lokalizacje' query in the workbook." type="5" refreshedVersion="8" background="1" saveData="1">
    <dbPr connection="Provider=Microsoft.Mashup.OleDb.1;Data Source=$Workbook$;Location=lokalizacje;Extended Properties=&quot;&quot;" command="SELECT * FROM [lokalizacje]"/>
  </connection>
  <connection id="6" xr16:uid="{958B89CC-F304-4F04-8AFF-216D034CCAD0}" keepAlive="1" name="Query - odczyty_czyste" description="Connection to the 'odczyty_czyste' query in the workbook." type="5" refreshedVersion="8" background="1" saveData="1">
    <dbPr connection="Provider=Microsoft.Mashup.OleDb.1;Data Source=$Workbook$;Location=odczyty_czyste;Extended Properties=&quot;&quot;" command="SELECT * FROM [odczyty_czyste]"/>
  </connection>
</connections>
</file>

<file path=xl/sharedStrings.xml><?xml version="1.0" encoding="utf-8"?>
<sst xmlns="http://schemas.openxmlformats.org/spreadsheetml/2006/main" count="2141" uniqueCount="396">
  <si>
    <t>id_wiersza</t>
  </si>
  <si>
    <t>id_odczytu</t>
  </si>
  <si>
    <t>kod_oddzialu</t>
  </si>
  <si>
    <t>okres</t>
  </si>
  <si>
    <t>zuzycie</t>
  </si>
  <si>
    <t>jednostka</t>
  </si>
  <si>
    <t>wersja</t>
  </si>
  <si>
    <t>data_otrzymania</t>
  </si>
  <si>
    <t>A_L002_01_v2</t>
  </si>
  <si>
    <t>A_L002_01</t>
  </si>
  <si>
    <t>L002</t>
  </si>
  <si>
    <t>1026</t>
  </si>
  <si>
    <t>kWh</t>
  </si>
  <si>
    <t>A_L001_01_v1</t>
  </si>
  <si>
    <t>A_L001_01</t>
  </si>
  <si>
    <t>L001</t>
  </si>
  <si>
    <t>883</t>
  </si>
  <si>
    <t>A_L001_02_v1</t>
  </si>
  <si>
    <t>A_L001_02</t>
  </si>
  <si>
    <t>943</t>
  </si>
  <si>
    <t>A_L001_03_v1</t>
  </si>
  <si>
    <t>A_L001_03</t>
  </si>
  <si>
    <t>1003</t>
  </si>
  <si>
    <t>A_L002_01_v1</t>
  </si>
  <si>
    <t>906</t>
  </si>
  <si>
    <t>A_L002_02_v1</t>
  </si>
  <si>
    <t>A_L002_02</t>
  </si>
  <si>
    <t>966</t>
  </si>
  <si>
    <t>A_L002_03_v1</t>
  </si>
  <si>
    <t>A_L002_03</t>
  </si>
  <si>
    <t>A_L003_01_v1</t>
  </si>
  <si>
    <t>A_L003_01</t>
  </si>
  <si>
    <t>L003</t>
  </si>
  <si>
    <t>929</t>
  </si>
  <si>
    <t>A_L003_03_v1</t>
  </si>
  <si>
    <t>A_L003_03</t>
  </si>
  <si>
    <t>1049</t>
  </si>
  <si>
    <t>A_L004_01_v1</t>
  </si>
  <si>
    <t>A_L004_01</t>
  </si>
  <si>
    <t>L004</t>
  </si>
  <si>
    <t>952</t>
  </si>
  <si>
    <t>A_L004_02_v1</t>
  </si>
  <si>
    <t>A_L004_02</t>
  </si>
  <si>
    <t>1012</t>
  </si>
  <si>
    <t>A_L004_03_v1</t>
  </si>
  <si>
    <t>A_L004_03</t>
  </si>
  <si>
    <t>1072</t>
  </si>
  <si>
    <t>A_L005_01_v1</t>
  </si>
  <si>
    <t>A_L005_01</t>
  </si>
  <si>
    <t>L005</t>
  </si>
  <si>
    <t>975</t>
  </si>
  <si>
    <t>A_L005_02_v1</t>
  </si>
  <si>
    <t>A_L005_02</t>
  </si>
  <si>
    <t>1035</t>
  </si>
  <si>
    <t>A_L005_03_v1</t>
  </si>
  <si>
    <t>A_L005_03</t>
  </si>
  <si>
    <t>1095</t>
  </si>
  <si>
    <t>A_L006_01_v1</t>
  </si>
  <si>
    <t>A_L006_01</t>
  </si>
  <si>
    <t>L006</t>
  </si>
  <si>
    <t>998</t>
  </si>
  <si>
    <t>A_L006_02_v1</t>
  </si>
  <si>
    <t>A_L006_02</t>
  </si>
  <si>
    <t>0</t>
  </si>
  <si>
    <t>A_L006_03_v1</t>
  </si>
  <si>
    <t>A_L006_03</t>
  </si>
  <si>
    <t>1118</t>
  </si>
  <si>
    <t>A_L007_01_v1</t>
  </si>
  <si>
    <t>A_L007_01</t>
  </si>
  <si>
    <t>L007</t>
  </si>
  <si>
    <t>1021</t>
  </si>
  <si>
    <t>A_L007_02_v1</t>
  </si>
  <si>
    <t>A_L007_02</t>
  </si>
  <si>
    <t>1081</t>
  </si>
  <si>
    <t>A_L007_03_v1</t>
  </si>
  <si>
    <t>A_L007_03</t>
  </si>
  <si>
    <t>1141</t>
  </si>
  <si>
    <t>A_L008_01_v1</t>
  </si>
  <si>
    <t>A_L008_01</t>
  </si>
  <si>
    <t>L008</t>
  </si>
  <si>
    <t>1044</t>
  </si>
  <si>
    <t>A_L008_02_v1</t>
  </si>
  <si>
    <t>A_L008_02</t>
  </si>
  <si>
    <t>1104</t>
  </si>
  <si>
    <t>A_L008_03_v1</t>
  </si>
  <si>
    <t>A_L008_03</t>
  </si>
  <si>
    <t>1164</t>
  </si>
  <si>
    <t>A_L009_01_v1</t>
  </si>
  <si>
    <t>A_L009_01</t>
  </si>
  <si>
    <t xml:space="preserve"> L009 </t>
  </si>
  <si>
    <t>1.067</t>
  </si>
  <si>
    <t>MWh</t>
  </si>
  <si>
    <t>A_L009_02_v1</t>
  </si>
  <si>
    <t>A_L009_02</t>
  </si>
  <si>
    <t>1127</t>
  </si>
  <si>
    <t>A_L009_03_v1</t>
  </si>
  <si>
    <t>A_L009_03</t>
  </si>
  <si>
    <t>1187</t>
  </si>
  <si>
    <t>A_L010_01_v1</t>
  </si>
  <si>
    <t>A_L010_01</t>
  </si>
  <si>
    <t>L010</t>
  </si>
  <si>
    <t>1090</t>
  </si>
  <si>
    <t>A_L010_02_v1</t>
  </si>
  <si>
    <t>A_L010_02</t>
  </si>
  <si>
    <t>1150</t>
  </si>
  <si>
    <t>A_L010_03_v1</t>
  </si>
  <si>
    <t>A_L010_03</t>
  </si>
  <si>
    <t>1210</t>
  </si>
  <si>
    <t>A_L011_02_v1</t>
  </si>
  <si>
    <t>A_L011_02</t>
  </si>
  <si>
    <t>L011</t>
  </si>
  <si>
    <t>1173</t>
  </si>
  <si>
    <t>A_L011_03_v1</t>
  </si>
  <si>
    <t>A_L011_03</t>
  </si>
  <si>
    <t>1233</t>
  </si>
  <si>
    <t>A_L012_01_v1</t>
  </si>
  <si>
    <t>A_L012_01</t>
  </si>
  <si>
    <t>L012</t>
  </si>
  <si>
    <t>1136</t>
  </si>
  <si>
    <t>A_L012_02_v1</t>
  </si>
  <si>
    <t>A_L012_02</t>
  </si>
  <si>
    <t>1196</t>
  </si>
  <si>
    <t>A_L012_03_v1</t>
  </si>
  <si>
    <t>A_L012_03</t>
  </si>
  <si>
    <t>1256</t>
  </si>
  <si>
    <t>A_L013_01_v1</t>
  </si>
  <si>
    <t>A_L013_01</t>
  </si>
  <si>
    <t>L013</t>
  </si>
  <si>
    <t>1159</t>
  </si>
  <si>
    <t>A_L013_02_v1</t>
  </si>
  <si>
    <t>A_L013_02</t>
  </si>
  <si>
    <t>1219</t>
  </si>
  <si>
    <t>A_L013_03_v1</t>
  </si>
  <si>
    <t>A_L013_03</t>
  </si>
  <si>
    <t>1279</t>
  </si>
  <si>
    <t>A_L014_01_v1</t>
  </si>
  <si>
    <t>A_L014_01</t>
  </si>
  <si>
    <t>L014</t>
  </si>
  <si>
    <t>1182</t>
  </si>
  <si>
    <t>A_L014_02_v1</t>
  </si>
  <si>
    <t>A_L014_02</t>
  </si>
  <si>
    <t>1242</t>
  </si>
  <si>
    <t>A_L014_03_v1</t>
  </si>
  <si>
    <t>A_L014_03</t>
  </si>
  <si>
    <t>1302</t>
  </si>
  <si>
    <t>A_L015_01_v1</t>
  </si>
  <si>
    <t>A_L015_01</t>
  </si>
  <si>
    <t>L015</t>
  </si>
  <si>
    <t>1205</t>
  </si>
  <si>
    <t>A_L015_03_v1</t>
  </si>
  <si>
    <t>A_L015_03</t>
  </si>
  <si>
    <t>1325</t>
  </si>
  <si>
    <t>A_L005_01_v1_kopia</t>
  </si>
  <si>
    <t>A_L023_02_v1</t>
  </si>
  <si>
    <t>A_L023_02</t>
  </si>
  <si>
    <t>L023</t>
  </si>
  <si>
    <t>1549</t>
  </si>
  <si>
    <t>A_X999_01_v1</t>
  </si>
  <si>
    <t>A_X999_01</t>
  </si>
  <si>
    <t>X999</t>
  </si>
  <si>
    <t>300</t>
  </si>
  <si>
    <t>B_L016_03_v2</t>
  </si>
  <si>
    <t>B_L016_03</t>
  </si>
  <si>
    <t>L016</t>
  </si>
  <si>
    <t>B_L016_01_v1</t>
  </si>
  <si>
    <t>B_L016_01</t>
  </si>
  <si>
    <t>B_L016_02_v1</t>
  </si>
  <si>
    <t>B_L016_02</t>
  </si>
  <si>
    <t>B_L016_03_v1</t>
  </si>
  <si>
    <t>B_L017_01_v1</t>
  </si>
  <si>
    <t>B_L017_01</t>
  </si>
  <si>
    <t>L017</t>
  </si>
  <si>
    <t>B_L017_02_v1</t>
  </si>
  <si>
    <t>B_L017_02</t>
  </si>
  <si>
    <t>B_L017_03_v1</t>
  </si>
  <si>
    <t>B_L017_03</t>
  </si>
  <si>
    <t>B_L018_01_v1</t>
  </si>
  <si>
    <t>B_L018_01</t>
  </si>
  <si>
    <t>L018</t>
  </si>
  <si>
    <t>B_L018_02_v1</t>
  </si>
  <si>
    <t>B_L018_02</t>
  </si>
  <si>
    <t>B_L019_01_v1</t>
  </si>
  <si>
    <t>B_L019_01</t>
  </si>
  <si>
    <t>L019</t>
  </si>
  <si>
    <t>B_L019_02_v1</t>
  </si>
  <si>
    <t>B_L019_02</t>
  </si>
  <si>
    <t>B_L019_03_v1</t>
  </si>
  <si>
    <t>B_L019_03</t>
  </si>
  <si>
    <t>B_L020_01_v1</t>
  </si>
  <si>
    <t>B_L020_01</t>
  </si>
  <si>
    <t>L020</t>
  </si>
  <si>
    <t>B_L020_02_v1</t>
  </si>
  <si>
    <t>B_L020_02</t>
  </si>
  <si>
    <t>B_L020_03_v1</t>
  </si>
  <si>
    <t>B_L020_03</t>
  </si>
  <si>
    <t>B_L021_01_v1</t>
  </si>
  <si>
    <t>B_L021_01</t>
  </si>
  <si>
    <t xml:space="preserve"> L021 </t>
  </si>
  <si>
    <t>B_L021_02_v1</t>
  </si>
  <si>
    <t>B_L021_02</t>
  </si>
  <si>
    <t>B_L021_03_v1</t>
  </si>
  <si>
    <t>B_L021_03</t>
  </si>
  <si>
    <t>B_L022_01_v1</t>
  </si>
  <si>
    <t>B_L022_01</t>
  </si>
  <si>
    <t>L022</t>
  </si>
  <si>
    <t>B_L022_02_v1</t>
  </si>
  <si>
    <t>B_L022_02</t>
  </si>
  <si>
    <t>B_L022_03_v1</t>
  </si>
  <si>
    <t>B_L022_03</t>
  </si>
  <si>
    <t>B_L023_01_v1</t>
  </si>
  <si>
    <t>B_L023_01</t>
  </si>
  <si>
    <t>B_L023_02_v1</t>
  </si>
  <si>
    <t>B_L023_02</t>
  </si>
  <si>
    <t>B_L023_03_v1</t>
  </si>
  <si>
    <t>B_L023_03</t>
  </si>
  <si>
    <t>B_L024_01_v1</t>
  </si>
  <si>
    <t>B_L024_01</t>
  </si>
  <si>
    <t>L024</t>
  </si>
  <si>
    <t>B_L024_02_v1</t>
  </si>
  <si>
    <t>B_L024_02</t>
  </si>
  <si>
    <t>B_L024_03_v1</t>
  </si>
  <si>
    <t>B_L024_03</t>
  </si>
  <si>
    <t>B_L025_01_v1</t>
  </si>
  <si>
    <t>B_L025_01</t>
  </si>
  <si>
    <t>L025</t>
  </si>
  <si>
    <t>B_L025_03_v1</t>
  </si>
  <si>
    <t>B_L025_03</t>
  </si>
  <si>
    <t>B_L026_01_v1</t>
  </si>
  <si>
    <t>B_L026_01</t>
  </si>
  <si>
    <t>L026</t>
  </si>
  <si>
    <t>B_L026_02_v1</t>
  </si>
  <si>
    <t>B_L026_02</t>
  </si>
  <si>
    <t>B_L026_03_v1</t>
  </si>
  <si>
    <t>B_L026_03</t>
  </si>
  <si>
    <t>B_L027_01_v1</t>
  </si>
  <si>
    <t>B_L027_01</t>
  </si>
  <si>
    <t>L027</t>
  </si>
  <si>
    <t>B_L027_02_v1</t>
  </si>
  <si>
    <t>B_L027_02</t>
  </si>
  <si>
    <t>B_L027_03_v1</t>
  </si>
  <si>
    <t>B_L027_03</t>
  </si>
  <si>
    <t>B_L028_01_v1</t>
  </si>
  <si>
    <t>B_L028_01</t>
  </si>
  <si>
    <t>L028</t>
  </si>
  <si>
    <t>B_L028_02_v1</t>
  </si>
  <si>
    <t>B_L028_02</t>
  </si>
  <si>
    <t>B_L028_03_v1</t>
  </si>
  <si>
    <t>B_L028_03</t>
  </si>
  <si>
    <t>B_L029_01_v1</t>
  </si>
  <si>
    <t>B_L029_01</t>
  </si>
  <si>
    <t>L029</t>
  </si>
  <si>
    <t>B_L029_02_v1</t>
  </si>
  <si>
    <t>B_L029_02</t>
  </si>
  <si>
    <t>B_L029_03_v1</t>
  </si>
  <si>
    <t>B_L029_03</t>
  </si>
  <si>
    <t>B_L030_01_v1</t>
  </si>
  <si>
    <t>B_L030_01</t>
  </si>
  <si>
    <t>L030</t>
  </si>
  <si>
    <t>B_L030_02_v1</t>
  </si>
  <si>
    <t>B_L030_02</t>
  </si>
  <si>
    <t>B_L030_03_v1</t>
  </si>
  <si>
    <t>B_L030_03</t>
  </si>
  <si>
    <t>B_L007_03_v1</t>
  </si>
  <si>
    <t>B_L007_03</t>
  </si>
  <si>
    <t>id_zmiany</t>
  </si>
  <si>
    <t>kod_lok</t>
  </si>
  <si>
    <t>miesiac</t>
  </si>
  <si>
    <t>typ</t>
  </si>
  <si>
    <t>wartosc_kwh</t>
  </si>
  <si>
    <t>data_zmiany</t>
  </si>
  <si>
    <t>opis</t>
  </si>
  <si>
    <t>K01</t>
  </si>
  <si>
    <t>nadpisanie</t>
  </si>
  <si>
    <t>Potwierdzona wartość miesięczna po weryfikacji.</t>
  </si>
  <si>
    <t>K02</t>
  </si>
  <si>
    <t>korekta</t>
  </si>
  <si>
    <t>Zmniejszenie zużycia o 50 kWh.</t>
  </si>
  <si>
    <t>K03</t>
  </si>
  <si>
    <t>Korekta dodająca 20 kWh do odczytu miesięcznego.</t>
  </si>
  <si>
    <t>K04</t>
  </si>
  <si>
    <t>Zwiększenie zużycia o 40 kWh.</t>
  </si>
  <si>
    <t>K05</t>
  </si>
  <si>
    <t>nazwa</t>
  </si>
  <si>
    <t>aktywny_od</t>
  </si>
  <si>
    <t>aktywny_do</t>
  </si>
  <si>
    <t>Oddział 01</t>
  </si>
  <si>
    <t>Oddział 02</t>
  </si>
  <si>
    <t>Oddział 03</t>
  </si>
  <si>
    <t>Oddział 04</t>
  </si>
  <si>
    <t>Oddział 05</t>
  </si>
  <si>
    <t>Oddział 06</t>
  </si>
  <si>
    <t>Oddział 07</t>
  </si>
  <si>
    <t>Oddział 08</t>
  </si>
  <si>
    <t>L009</t>
  </si>
  <si>
    <t>Oddział 09</t>
  </si>
  <si>
    <t>Oddział 10</t>
  </si>
  <si>
    <t>Oddział 11</t>
  </si>
  <si>
    <t>Oddział 12</t>
  </si>
  <si>
    <t>Oddział 13</t>
  </si>
  <si>
    <t>Oddział 14</t>
  </si>
  <si>
    <t>Oddział 15</t>
  </si>
  <si>
    <t>Oddział 16</t>
  </si>
  <si>
    <t>Oddział 17</t>
  </si>
  <si>
    <t>Oddział 18</t>
  </si>
  <si>
    <t>Oddział 19</t>
  </si>
  <si>
    <t>Oddział 20</t>
  </si>
  <si>
    <t>L021</t>
  </si>
  <si>
    <t>Oddział 21</t>
  </si>
  <si>
    <t>Oddział 22</t>
  </si>
  <si>
    <t>Oddział 23</t>
  </si>
  <si>
    <t>Oddział 24</t>
  </si>
  <si>
    <t>Oddział 25</t>
  </si>
  <si>
    <t>Oddział 26</t>
  </si>
  <si>
    <t>Oddział 27</t>
  </si>
  <si>
    <t>Oddział 28</t>
  </si>
  <si>
    <t>Oddział 29</t>
  </si>
  <si>
    <t>Oddział 30</t>
  </si>
  <si>
    <t>zuzycie_kwh</t>
  </si>
  <si>
    <t/>
  </si>
  <si>
    <t>1950</t>
  </si>
  <si>
    <t>1228</t>
  </si>
  <si>
    <t>1288</t>
  </si>
  <si>
    <t>1348</t>
  </si>
  <si>
    <t>1251</t>
  </si>
  <si>
    <t>1311</t>
  </si>
  <si>
    <t>1371</t>
  </si>
  <si>
    <t>1274</t>
  </si>
  <si>
    <t>1334</t>
  </si>
  <si>
    <t>1297</t>
  </si>
  <si>
    <t>1357</t>
  </si>
  <si>
    <t>1417</t>
  </si>
  <si>
    <t>1320</t>
  </si>
  <si>
    <t>1380</t>
  </si>
  <si>
    <t>1440</t>
  </si>
  <si>
    <t>1343</t>
  </si>
  <si>
    <t>1403</t>
  </si>
  <si>
    <t>1463</t>
  </si>
  <si>
    <t>1366</t>
  </si>
  <si>
    <t>1426</t>
  </si>
  <si>
    <t>1486</t>
  </si>
  <si>
    <t>1389</t>
  </si>
  <si>
    <t>1449</t>
  </si>
  <si>
    <t>1509</t>
  </si>
  <si>
    <t>1412</t>
  </si>
  <si>
    <t>1472</t>
  </si>
  <si>
    <t>1532</t>
  </si>
  <si>
    <t>1435</t>
  </si>
  <si>
    <t>1555</t>
  </si>
  <si>
    <t>1458</t>
  </si>
  <si>
    <t>1518</t>
  </si>
  <si>
    <t>1578</t>
  </si>
  <si>
    <t>1481</t>
  </si>
  <si>
    <t>1541</t>
  </si>
  <si>
    <t>1601</t>
  </si>
  <si>
    <t>1504</t>
  </si>
  <si>
    <t>1564</t>
  </si>
  <si>
    <t>1624</t>
  </si>
  <si>
    <t>1527</t>
  </si>
  <si>
    <t>1587</t>
  </si>
  <si>
    <t>1647</t>
  </si>
  <si>
    <t>1550</t>
  </si>
  <si>
    <t>1610</t>
  </si>
  <si>
    <t>1670</t>
  </si>
  <si>
    <t>2026-01</t>
  </si>
  <si>
    <t>2</t>
  </si>
  <si>
    <t>2026-04-12T09:00:00</t>
  </si>
  <si>
    <t>1</t>
  </si>
  <si>
    <t>2026-04-03T09:00:00</t>
  </si>
  <si>
    <t>2026-02</t>
  </si>
  <si>
    <t>2026-03</t>
  </si>
  <si>
    <t>1,417</t>
  </si>
  <si>
    <t>1216</t>
  </si>
  <si>
    <t>2026-04-14</t>
  </si>
  <si>
    <t>-50</t>
  </si>
  <si>
    <t>20</t>
  </si>
  <si>
    <t>40</t>
  </si>
  <si>
    <t>900</t>
  </si>
  <si>
    <t>2025-01</t>
  </si>
  <si>
    <t>kwh przeliczone</t>
  </si>
  <si>
    <t>kwh</t>
  </si>
  <si>
    <t>odczyty_czyste.id_wiersza</t>
  </si>
  <si>
    <t>odczyty_czyste.kwh</t>
  </si>
  <si>
    <t>historia_zmian.id_zmiany</t>
  </si>
  <si>
    <t>historia_zmian.typ</t>
  </si>
  <si>
    <t>historia_zmian.wartosc_kwh</t>
  </si>
  <si>
    <t>historia_zmian.opis</t>
  </si>
  <si>
    <t>lokalizacje.nazwa</t>
  </si>
  <si>
    <t>lokalizacje.aktywny_od</t>
  </si>
  <si>
    <t>lokalizacje.aktywny_do</t>
  </si>
  <si>
    <t>aktualne_kwh</t>
  </si>
  <si>
    <t>roznica_kwh</t>
  </si>
  <si>
    <t>zordlo_wyniku</t>
  </si>
  <si>
    <t>Liczba miesięcy</t>
  </si>
  <si>
    <t>Suma kwh</t>
  </si>
  <si>
    <t>Kod lokalizacji</t>
  </si>
  <si>
    <t>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</si>
</sst>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257175</xdr:colOff>
      <xdr:row>3</xdr:row>
      <xdr:rowOff>114300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B5E3F5A-DD2E-A1DE-6BE6-49DAF8CD4FBF}"/>
            </a:ext>
          </a:extLst>
        </xdr:cNvPr>
        <xdr:cNvSpPr txBox="1"/>
      </xdr:nvSpPr>
      <xdr:spPr>
        <a:xfrm>
          <a:off x="5172075" y="685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l-PL" sz="1100"/>
        </a:p>
      </xdr:txBody>
    </xdr:sp>
    <xdr:clientData/>
  </xdr:oneCellAnchor>
  <xdr:twoCellAnchor>
    <xdr:from>
      <xdr:col>5</xdr:col>
      <xdr:colOff>85725</xdr:colOff>
      <xdr:row>3</xdr:row>
      <xdr:rowOff>1</xdr:rowOff>
    </xdr:from>
    <xdr:to>
      <xdr:col>9</xdr:col>
      <xdr:colOff>428625</xdr:colOff>
      <xdr:row>36</xdr:row>
      <xdr:rowOff>95251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023A5C7-9F48-30EC-845F-1A56406D8988}"/>
            </a:ext>
          </a:extLst>
        </xdr:cNvPr>
        <xdr:cNvSpPr txBox="1"/>
      </xdr:nvSpPr>
      <xdr:spPr>
        <a:xfrm>
          <a:off x="5000625" y="571501"/>
          <a:ext cx="2781300" cy="6381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100" b="1"/>
            <a:t>Rozbieżności względem poprzedniego raportu:</a:t>
          </a:r>
        </a:p>
        <a:p>
          <a:r>
            <a:rPr lang="pl-PL" sz="1100"/>
            <a:t>-</a:t>
          </a:r>
          <a:r>
            <a:rPr lang="pl-PL" sz="1100" baseline="0"/>
            <a:t>L009 (2026-01): w poprzednim raporcie zapisano 1,07kwh zamiast 1067 kwh</a:t>
          </a:r>
        </a:p>
        <a:p>
          <a:endParaRPr lang="pl-PL" sz="1100" baseline="0"/>
        </a:p>
        <a:p>
          <a:r>
            <a:rPr lang="pl-PL" sz="1100" baseline="0"/>
            <a:t>-L005 (2026-01): w poprzednim raporcie zsumowano zduplikowany wiersz wykazując 1950 kwh zamiast 975 kwh</a:t>
          </a:r>
        </a:p>
        <a:p>
          <a:endParaRPr lang="pl-PL" sz="1100" baseline="0"/>
        </a:p>
        <a:p>
          <a:r>
            <a:rPr lang="pl-PL" sz="1100" baseline="0"/>
            <a:t>-L002 (2026-01): stara wersja odczytu v1 (906 kwh), zamiast wersji v2 (1026 kwh)</a:t>
          </a:r>
        </a:p>
        <a:p>
          <a:endParaRPr lang="pl-PL" sz="1100" baseline="0"/>
        </a:p>
        <a:p>
          <a:r>
            <a:rPr lang="pl-PL" sz="1100" baseline="0"/>
            <a:t>-L016(2026-03): stara wersja odczytu v1 (1348kwh), zamiast wersji v2 (1288kwh)</a:t>
          </a:r>
        </a:p>
        <a:p>
          <a:endParaRPr lang="pl-PL" sz="1100" baseline="0"/>
        </a:p>
        <a:p>
          <a:r>
            <a:rPr lang="pl-PL" sz="1100" baseline="0"/>
            <a:t>-L004 (2026-02): nie ujęto nadpisania K01 zmieniającego użycie z 1012 kwh na 0</a:t>
          </a:r>
        </a:p>
        <a:p>
          <a:endParaRPr lang="pl-PL" sz="1100" baseline="0"/>
        </a:p>
        <a:p>
          <a:r>
            <a:rPr lang="pl-PL" sz="1100" baseline="0"/>
            <a:t>-L008 (2026-03): nie ujęto korekty K02 zmieniajacej odczyt z 1164 kwh na 1114 kwh</a:t>
          </a:r>
        </a:p>
        <a:p>
          <a:endParaRPr lang="pl-PL" sz="1100" baseline="0"/>
        </a:p>
        <a:p>
          <a:r>
            <a:rPr lang="pl-PL" sz="1100" baseline="0"/>
            <a:t>-L012 (2026-01): nie ujęto korekty K04 zmieniajacej odczyt z 1136 kwh na 1176 kwh</a:t>
          </a:r>
        </a:p>
        <a:p>
          <a:endParaRPr lang="pl-PL" sz="1100" baseline="0"/>
        </a:p>
        <a:p>
          <a:r>
            <a:rPr lang="pl-PL" sz="1100" baseline="0"/>
            <a:t>-L025 (2026-02): w poprzednim raporcie pole bylo puste, uzupelnione zostalo wartoscią 900 kwh na podstawie K05</a:t>
          </a:r>
        </a:p>
        <a:p>
          <a:endParaRPr lang="pl-PL" sz="1100" baseline="0"/>
        </a:p>
        <a:p>
          <a:r>
            <a:rPr lang="pl-PL" sz="1100" baseline="0"/>
            <a:t>-X999: lokalizacja nie znajduje sie w rejestrze lokalizacji, odczyt zostal usuniety z raportu</a:t>
          </a:r>
        </a:p>
        <a:p>
          <a:endParaRPr lang="pl-PL" sz="1100" baseline="0"/>
        </a:p>
        <a:p>
          <a:r>
            <a:rPr lang="pl-PL" sz="1100" baseline="0"/>
            <a:t>-L029 (2026-03): oddział był aktywny do lutego, usunieto odczyt z marca</a:t>
          </a:r>
        </a:p>
        <a:p>
          <a:endParaRPr lang="pl-PL" sz="1100" baseline="0"/>
        </a:p>
        <a:p>
          <a:r>
            <a:rPr lang="pl-PL" sz="1100" baseline="0"/>
            <a:t>-L030 (2026-01): oddzial zostal otwarty w lutym, usunięto odczyt ze stycznia</a:t>
          </a:r>
          <a:endParaRPr lang="pl-PL" sz="1100"/>
        </a:p>
      </xdr:txBody>
    </xdr:sp>
    <xdr:clientData/>
  </xdr:twoCellAnchor>
  <xdr:twoCellAnchor>
    <xdr:from>
      <xdr:col>10</xdr:col>
      <xdr:colOff>371475</xdr:colOff>
      <xdr:row>3</xdr:row>
      <xdr:rowOff>0</xdr:rowOff>
    </xdr:from>
    <xdr:to>
      <xdr:col>15</xdr:col>
      <xdr:colOff>66675</xdr:colOff>
      <xdr:row>33</xdr:row>
      <xdr:rowOff>123825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EC7AAC2-31DC-C329-E538-3596F0644914}"/>
            </a:ext>
          </a:extLst>
        </xdr:cNvPr>
        <xdr:cNvSpPr txBox="1"/>
      </xdr:nvSpPr>
      <xdr:spPr>
        <a:xfrm>
          <a:off x="8334375" y="571500"/>
          <a:ext cx="2743200" cy="5838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100" b="1"/>
            <a:t>Kwestie nierozstrzygnięte</a:t>
          </a:r>
        </a:p>
        <a:p>
          <a:r>
            <a:rPr lang="pl-PL" sz="1100" b="0"/>
            <a:t>-Brak odczytów miesięcznych dla oddziałow</a:t>
          </a:r>
          <a:r>
            <a:rPr lang="pl-PL" sz="1100" b="0" baseline="0"/>
            <a:t> L003 (2026-02), L011 (2026-01) i L018 (2026-03)</a:t>
          </a:r>
        </a:p>
        <a:p>
          <a:endParaRPr lang="pl-PL" sz="1100" b="0" baseline="0"/>
        </a:p>
        <a:p>
          <a:r>
            <a:rPr lang="pl-PL" sz="1100" b="0" baseline="0"/>
            <a:t>-Korekta bez odczytu bazowego L015 (2026-02). W historii zmian jest korekta K03, jednak dostawca A nie wyslal odczytu bazowego za luty, co nie pozwala na wyliczenie zużycia całkowitego</a:t>
          </a:r>
        </a:p>
        <a:p>
          <a:endParaRPr lang="pl-PL" sz="1100" b="0" baseline="0"/>
        </a:p>
        <a:p>
          <a:r>
            <a:rPr lang="pl-PL" sz="1100" b="0" baseline="0"/>
            <a:t>-Niepotwierdzone zużycie zerowe w L006 (2026-02), dostawca przeslal odczyt 0, ale nie ma informacji o zmianie dzialania placówki np. remoncie</a:t>
          </a:r>
        </a:p>
        <a:p>
          <a:endParaRPr lang="pl-PL" sz="1100" b="0" baseline="0"/>
        </a:p>
        <a:p>
          <a:r>
            <a:rPr lang="pl-PL" sz="1100" b="0" baseline="0"/>
            <a:t>- W L007 (2026-03) i L023 (2026-02) odczyty przesłali obaj dostawcy jednocześnie na różne kwoty. Do wyliczeń przyjęto dostawce dla właściwego rejonu A:1-15, B:16-30</a:t>
          </a:r>
          <a:endParaRPr lang="pl-PL" sz="1100" b="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zymo" refreshedDate="46321.429429745367" createdVersion="8" refreshedVersion="8" minRefreshableVersion="3" recordCount="91" xr:uid="{E71B1CAE-AE5E-4626-9424-30935F63E4FF}">
  <cacheSource type="worksheet">
    <worksheetSource name="esg_final"/>
  </cacheSource>
  <cacheFields count="15">
    <cacheField name="kod_lok" numFmtId="0">
      <sharedItems count="31">
        <s v="L001"/>
        <s v="L002"/>
        <s v="L003"/>
        <s v="L004"/>
        <s v="L005"/>
        <s v="L006"/>
        <s v="L007"/>
        <s v="L008"/>
        <s v="L009"/>
        <s v="L010"/>
        <s v="L011"/>
        <s v="L012"/>
        <s v="L013"/>
        <s v="L014"/>
        <s v="L015"/>
        <s v="L023"/>
        <s v="L016"/>
        <s v="L017"/>
        <s v="L018"/>
        <s v="L019"/>
        <s v="L020"/>
        <s v="L021"/>
        <s v="L022"/>
        <s v="L024"/>
        <s v="L025"/>
        <s v="L026"/>
        <s v="L027"/>
        <s v="L028"/>
        <s v="L029"/>
        <s v="L030"/>
        <s v="X999"/>
      </sharedItems>
    </cacheField>
    <cacheField name="miesiac" numFmtId="0">
      <sharedItems/>
    </cacheField>
    <cacheField name="zuzycie_kwh" numFmtId="0">
      <sharedItems containsMixedTypes="1" containsNumber="1" minValue="1.07" maxValue="1.07"/>
    </cacheField>
    <cacheField name="odczyty_czyste.id_wiersza" numFmtId="0">
      <sharedItems containsBlank="1"/>
    </cacheField>
    <cacheField name="odczyty_czyste.kwh" numFmtId="0">
      <sharedItems containsString="0" containsBlank="1" containsNumber="1" containsInteger="1" minValue="0" maxValue="1670"/>
    </cacheField>
    <cacheField name="historia_zmian.id_zmiany" numFmtId="0">
      <sharedItems containsBlank="1"/>
    </cacheField>
    <cacheField name="historia_zmian.typ" numFmtId="0">
      <sharedItems containsBlank="1"/>
    </cacheField>
    <cacheField name="historia_zmian.wartosc_kwh" numFmtId="0">
      <sharedItems containsString="0" containsBlank="1" containsNumber="1" containsInteger="1" minValue="-50" maxValue="900"/>
    </cacheField>
    <cacheField name="historia_zmian.opis" numFmtId="0">
      <sharedItems containsBlank="1"/>
    </cacheField>
    <cacheField name="lokalizacje.nazwa" numFmtId="0">
      <sharedItems containsBlank="1"/>
    </cacheField>
    <cacheField name="lokalizacje.aktywny_od" numFmtId="0">
      <sharedItems containsBlank="1"/>
    </cacheField>
    <cacheField name="lokalizacje.aktywny_do" numFmtId="0">
      <sharedItems containsBlank="1"/>
    </cacheField>
    <cacheField name="aktualne_kwh" numFmtId="0">
      <sharedItems containsString="0" containsBlank="1" containsNumber="1" containsInteger="1" minValue="0" maxValue="1670"/>
    </cacheField>
    <cacheField name="roznica_kwh" numFmtId="0">
      <sharedItems containsBlank="1" containsMixedTypes="1" containsNumber="1" minValue="-1012" maxValue="1065.93"/>
    </cacheField>
    <cacheField name="zordlo_wyniku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x v="0"/>
    <s v="2026-01"/>
    <s v="883"/>
    <s v="A_L001_01_v1"/>
    <n v="883"/>
    <m/>
    <m/>
    <m/>
    <m/>
    <s v="Oddział 01"/>
    <s v="2025-01"/>
    <s v=""/>
    <n v="883"/>
    <n v="0"/>
    <s v="A_L001_01_v1 "/>
  </r>
  <r>
    <x v="0"/>
    <s v="2026-02"/>
    <s v="943"/>
    <s v="A_L001_02_v1"/>
    <n v="943"/>
    <m/>
    <m/>
    <m/>
    <m/>
    <s v="Oddział 01"/>
    <s v="2025-01"/>
    <s v=""/>
    <n v="943"/>
    <n v="0"/>
    <s v="A_L001_02_v1 "/>
  </r>
  <r>
    <x v="0"/>
    <s v="2026-03"/>
    <s v="1003"/>
    <s v="A_L001_03_v1"/>
    <n v="1003"/>
    <m/>
    <m/>
    <m/>
    <m/>
    <s v="Oddział 01"/>
    <s v="2025-01"/>
    <s v=""/>
    <n v="1003"/>
    <n v="0"/>
    <s v="A_L001_03_v1 "/>
  </r>
  <r>
    <x v="1"/>
    <s v="2026-01"/>
    <s v="906"/>
    <s v="A_L002_01_v2"/>
    <n v="1026"/>
    <m/>
    <m/>
    <m/>
    <m/>
    <s v="Oddział 02"/>
    <s v="2025-01"/>
    <s v=""/>
    <n v="1026"/>
    <n v="120"/>
    <s v="A_L002_01_v2 "/>
  </r>
  <r>
    <x v="1"/>
    <s v="2026-02"/>
    <s v="966"/>
    <s v="A_L002_02_v1"/>
    <n v="966"/>
    <m/>
    <m/>
    <m/>
    <m/>
    <s v="Oddział 02"/>
    <s v="2025-01"/>
    <s v=""/>
    <n v="966"/>
    <n v="0"/>
    <s v="A_L002_02_v1 "/>
  </r>
  <r>
    <x v="1"/>
    <s v="2026-03"/>
    <s v="1026"/>
    <s v="A_L002_03_v1"/>
    <n v="1026"/>
    <m/>
    <m/>
    <m/>
    <m/>
    <s v="Oddział 02"/>
    <s v="2025-01"/>
    <s v=""/>
    <n v="1026"/>
    <n v="0"/>
    <s v="A_L002_03_v1 "/>
  </r>
  <r>
    <x v="2"/>
    <s v="2026-01"/>
    <s v="929"/>
    <s v="A_L003_01_v1"/>
    <n v="929"/>
    <m/>
    <m/>
    <m/>
    <m/>
    <s v="Oddział 03"/>
    <s v="2025-01"/>
    <s v=""/>
    <n v="929"/>
    <n v="0"/>
    <s v="A_L003_01_v1 "/>
  </r>
  <r>
    <x v="2"/>
    <s v="2026-02"/>
    <s v=""/>
    <m/>
    <m/>
    <m/>
    <m/>
    <m/>
    <m/>
    <s v="Oddział 03"/>
    <s v="2025-01"/>
    <s v=""/>
    <m/>
    <s v="Brak w starym raporcie"/>
    <s v=" "/>
  </r>
  <r>
    <x v="2"/>
    <s v="2026-03"/>
    <s v="1049"/>
    <s v="A_L003_03_v1"/>
    <n v="1049"/>
    <m/>
    <m/>
    <m/>
    <m/>
    <s v="Oddział 03"/>
    <s v="2025-01"/>
    <s v=""/>
    <n v="1049"/>
    <n v="0"/>
    <s v="A_L003_03_v1 "/>
  </r>
  <r>
    <x v="3"/>
    <s v="2026-01"/>
    <s v="952"/>
    <s v="A_L004_01_v1"/>
    <n v="952"/>
    <m/>
    <m/>
    <m/>
    <m/>
    <s v="Oddział 04"/>
    <s v="2025-01"/>
    <s v=""/>
    <n v="952"/>
    <n v="0"/>
    <s v="A_L004_01_v1 "/>
  </r>
  <r>
    <x v="3"/>
    <s v="2026-02"/>
    <s v="1012"/>
    <s v="A_L004_02_v1"/>
    <n v="1012"/>
    <s v="K01"/>
    <s v="nadpisanie"/>
    <n v="0"/>
    <s v="Potwierdzona wartość miesięczna po weryfikacji."/>
    <s v="Oddział 04"/>
    <s v="2025-01"/>
    <s v=""/>
    <n v="0"/>
    <n v="-1012"/>
    <s v="A_L004_02_v1 K01"/>
  </r>
  <r>
    <x v="3"/>
    <s v="2026-03"/>
    <s v="1072"/>
    <s v="A_L004_03_v1"/>
    <n v="1072"/>
    <m/>
    <m/>
    <m/>
    <m/>
    <s v="Oddział 04"/>
    <s v="2025-01"/>
    <s v=""/>
    <n v="1072"/>
    <n v="0"/>
    <s v="A_L004_03_v1 "/>
  </r>
  <r>
    <x v="4"/>
    <s v="2026-01"/>
    <s v="1950"/>
    <s v="A_L005_01_v1"/>
    <n v="975"/>
    <m/>
    <m/>
    <m/>
    <m/>
    <s v="Oddział 05"/>
    <s v="2025-01"/>
    <s v=""/>
    <n v="975"/>
    <n v="-975"/>
    <s v="A_L005_01_v1 "/>
  </r>
  <r>
    <x v="4"/>
    <s v="2026-02"/>
    <s v="1035"/>
    <s v="A_L005_02_v1"/>
    <n v="1035"/>
    <m/>
    <m/>
    <m/>
    <m/>
    <s v="Oddział 05"/>
    <s v="2025-01"/>
    <s v=""/>
    <n v="1035"/>
    <n v="0"/>
    <s v="A_L005_02_v1 "/>
  </r>
  <r>
    <x v="4"/>
    <s v="2026-03"/>
    <s v="1095"/>
    <s v="A_L005_03_v1"/>
    <n v="1095"/>
    <m/>
    <m/>
    <m/>
    <m/>
    <s v="Oddział 05"/>
    <s v="2025-01"/>
    <s v=""/>
    <n v="1095"/>
    <n v="0"/>
    <s v="A_L005_03_v1 "/>
  </r>
  <r>
    <x v="5"/>
    <s v="2026-01"/>
    <s v="998"/>
    <s v="A_L006_01_v1"/>
    <n v="998"/>
    <m/>
    <m/>
    <m/>
    <m/>
    <s v="Oddział 06"/>
    <s v="2025-01"/>
    <s v=""/>
    <n v="998"/>
    <n v="0"/>
    <s v="A_L006_01_v1 "/>
  </r>
  <r>
    <x v="5"/>
    <s v="2026-02"/>
    <s v="0"/>
    <s v="A_L006_02_v1"/>
    <n v="0"/>
    <m/>
    <m/>
    <m/>
    <m/>
    <s v="Oddział 06"/>
    <s v="2025-01"/>
    <s v=""/>
    <m/>
    <n v="0"/>
    <s v="A_L006_02_v1 "/>
  </r>
  <r>
    <x v="5"/>
    <s v="2026-03"/>
    <s v="1118"/>
    <s v="A_L006_03_v1"/>
    <n v="1118"/>
    <m/>
    <m/>
    <m/>
    <m/>
    <s v="Oddział 06"/>
    <s v="2025-01"/>
    <s v=""/>
    <n v="1118"/>
    <n v="0"/>
    <s v="A_L006_03_v1 "/>
  </r>
  <r>
    <x v="6"/>
    <s v="2026-01"/>
    <s v="1021"/>
    <s v="A_L007_01_v1"/>
    <n v="1021"/>
    <m/>
    <m/>
    <m/>
    <m/>
    <s v="Oddział 07"/>
    <s v="2025-01"/>
    <s v=""/>
    <n v="1021"/>
    <n v="0"/>
    <s v="A_L007_01_v1 "/>
  </r>
  <r>
    <x v="6"/>
    <s v="2026-02"/>
    <s v="1081"/>
    <s v="A_L007_02_v1"/>
    <n v="1081"/>
    <m/>
    <m/>
    <m/>
    <m/>
    <s v="Oddział 07"/>
    <s v="2025-01"/>
    <s v=""/>
    <n v="1081"/>
    <n v="0"/>
    <s v="A_L007_02_v1 "/>
  </r>
  <r>
    <x v="6"/>
    <s v="2026-03"/>
    <s v="1141"/>
    <s v="A_L007_03_v1"/>
    <n v="1141"/>
    <m/>
    <m/>
    <m/>
    <m/>
    <s v="Oddział 07"/>
    <s v="2025-01"/>
    <s v=""/>
    <n v="1141"/>
    <n v="0"/>
    <s v="A_L007_03_v1 "/>
  </r>
  <r>
    <x v="7"/>
    <s v="2026-01"/>
    <s v="1044"/>
    <s v="A_L008_01_v1"/>
    <n v="1044"/>
    <m/>
    <m/>
    <m/>
    <m/>
    <s v="Oddział 08"/>
    <s v="2025-01"/>
    <s v=""/>
    <n v="1044"/>
    <n v="0"/>
    <s v="A_L008_01_v1 "/>
  </r>
  <r>
    <x v="7"/>
    <s v="2026-02"/>
    <s v="1104"/>
    <s v="A_L008_02_v1"/>
    <n v="1104"/>
    <m/>
    <m/>
    <m/>
    <m/>
    <s v="Oddział 08"/>
    <s v="2025-01"/>
    <s v=""/>
    <n v="1104"/>
    <n v="0"/>
    <s v="A_L008_02_v1 "/>
  </r>
  <r>
    <x v="7"/>
    <s v="2026-03"/>
    <s v="1164"/>
    <s v="A_L008_03_v1"/>
    <n v="1164"/>
    <s v="K02"/>
    <s v="korekta"/>
    <n v="-50"/>
    <s v="Zmniejszenie zużycia o 50 kWh."/>
    <s v="Oddział 08"/>
    <s v="2025-01"/>
    <s v=""/>
    <n v="1114"/>
    <n v="-50"/>
    <s v="A_L008_03_v1 K02"/>
  </r>
  <r>
    <x v="8"/>
    <s v="2026-01"/>
    <n v="1.07"/>
    <s v="A_L009_01_v1"/>
    <n v="1067"/>
    <m/>
    <m/>
    <m/>
    <m/>
    <s v="Oddział 09"/>
    <s v="2025-01"/>
    <s v=""/>
    <n v="1067"/>
    <n v="1065.93"/>
    <s v="A_L009_01_v1 "/>
  </r>
  <r>
    <x v="8"/>
    <s v="2026-02"/>
    <s v="1127"/>
    <s v="A_L009_02_v1"/>
    <n v="1127"/>
    <m/>
    <m/>
    <m/>
    <m/>
    <s v="Oddział 09"/>
    <s v="2025-01"/>
    <s v=""/>
    <n v="1127"/>
    <n v="0"/>
    <s v="A_L009_02_v1 "/>
  </r>
  <r>
    <x v="8"/>
    <s v="2026-03"/>
    <s v="1187"/>
    <s v="A_L009_03_v1"/>
    <n v="1187"/>
    <m/>
    <m/>
    <m/>
    <m/>
    <s v="Oddział 09"/>
    <s v="2025-01"/>
    <s v=""/>
    <n v="1187"/>
    <n v="0"/>
    <s v="A_L009_03_v1 "/>
  </r>
  <r>
    <x v="9"/>
    <s v="2026-01"/>
    <s v="1090"/>
    <s v="A_L010_01_v1"/>
    <n v="1090"/>
    <m/>
    <m/>
    <m/>
    <m/>
    <s v="Oddział 10"/>
    <s v="2025-01"/>
    <s v=""/>
    <n v="1090"/>
    <n v="0"/>
    <s v="A_L010_01_v1 "/>
  </r>
  <r>
    <x v="9"/>
    <s v="2026-02"/>
    <s v="1150"/>
    <s v="A_L010_02_v1"/>
    <n v="1150"/>
    <m/>
    <m/>
    <m/>
    <m/>
    <s v="Oddział 10"/>
    <s v="2025-01"/>
    <s v=""/>
    <n v="1150"/>
    <n v="0"/>
    <s v="A_L010_02_v1 "/>
  </r>
  <r>
    <x v="9"/>
    <s v="2026-03"/>
    <s v="1210"/>
    <s v="A_L010_03_v1"/>
    <n v="1210"/>
    <m/>
    <m/>
    <m/>
    <m/>
    <s v="Oddział 10"/>
    <s v="2025-01"/>
    <s v=""/>
    <n v="1210"/>
    <n v="0"/>
    <s v="A_L010_03_v1 "/>
  </r>
  <r>
    <x v="10"/>
    <s v="2026-02"/>
    <s v="1173"/>
    <s v="A_L011_02_v1"/>
    <n v="1173"/>
    <m/>
    <m/>
    <m/>
    <m/>
    <s v="Oddział 11"/>
    <s v="2025-01"/>
    <s v=""/>
    <n v="1173"/>
    <n v="0"/>
    <s v="A_L011_02_v1 "/>
  </r>
  <r>
    <x v="10"/>
    <s v="2026-01"/>
    <s v=""/>
    <m/>
    <m/>
    <m/>
    <m/>
    <m/>
    <m/>
    <s v="Oddział 11"/>
    <s v="2025-01"/>
    <s v=""/>
    <m/>
    <s v="Brak w starym raporcie"/>
    <s v=" "/>
  </r>
  <r>
    <x v="10"/>
    <s v="2026-03"/>
    <s v="1233"/>
    <s v="A_L011_03_v1"/>
    <n v="1233"/>
    <m/>
    <m/>
    <m/>
    <m/>
    <s v="Oddział 11"/>
    <s v="2025-01"/>
    <s v=""/>
    <n v="1233"/>
    <n v="0"/>
    <s v="A_L011_03_v1 "/>
  </r>
  <r>
    <x v="11"/>
    <s v="2026-01"/>
    <s v="1136"/>
    <s v="A_L012_01_v1"/>
    <n v="1136"/>
    <s v="K04"/>
    <s v="korekta"/>
    <n v="40"/>
    <s v="Zwiększenie zużycia o 40 kWh."/>
    <s v="Oddział 12"/>
    <s v="2025-01"/>
    <s v=""/>
    <n v="1176"/>
    <n v="40"/>
    <s v="A_L012_01_v1 K04"/>
  </r>
  <r>
    <x v="11"/>
    <s v="2026-02"/>
    <s v="1196"/>
    <s v="A_L012_02_v1"/>
    <n v="1196"/>
    <m/>
    <m/>
    <m/>
    <m/>
    <s v="Oddział 12"/>
    <s v="2025-01"/>
    <s v=""/>
    <n v="1196"/>
    <n v="0"/>
    <s v="A_L012_02_v1 "/>
  </r>
  <r>
    <x v="11"/>
    <s v="2026-03"/>
    <s v="1256"/>
    <s v="A_L012_03_v1"/>
    <n v="1256"/>
    <m/>
    <m/>
    <m/>
    <m/>
    <s v="Oddział 12"/>
    <s v="2025-01"/>
    <s v=""/>
    <n v="1256"/>
    <n v="0"/>
    <s v="A_L012_03_v1 "/>
  </r>
  <r>
    <x v="12"/>
    <s v="2026-01"/>
    <s v="1159"/>
    <s v="A_L013_01_v1"/>
    <n v="1159"/>
    <m/>
    <m/>
    <m/>
    <m/>
    <s v="Oddział 13"/>
    <s v="2025-01"/>
    <s v=""/>
    <n v="1159"/>
    <n v="0"/>
    <s v="A_L013_01_v1 "/>
  </r>
  <r>
    <x v="12"/>
    <s v="2026-02"/>
    <s v="1219"/>
    <s v="A_L013_02_v1"/>
    <n v="1219"/>
    <m/>
    <m/>
    <m/>
    <m/>
    <s v="Oddział 13"/>
    <s v="2025-01"/>
    <s v=""/>
    <n v="1219"/>
    <n v="0"/>
    <s v="A_L013_02_v1 "/>
  </r>
  <r>
    <x v="12"/>
    <s v="2026-03"/>
    <s v="1279"/>
    <s v="A_L013_03_v1"/>
    <n v="1279"/>
    <m/>
    <m/>
    <m/>
    <m/>
    <s v="Oddział 13"/>
    <s v="2025-01"/>
    <s v=""/>
    <n v="1279"/>
    <n v="0"/>
    <s v="A_L013_03_v1 "/>
  </r>
  <r>
    <x v="13"/>
    <s v="2026-01"/>
    <s v="1182"/>
    <s v="A_L014_01_v1"/>
    <n v="1182"/>
    <m/>
    <m/>
    <m/>
    <m/>
    <s v="Oddział 14"/>
    <s v="2025-01"/>
    <s v=""/>
    <n v="1182"/>
    <n v="0"/>
    <s v="A_L014_01_v1 "/>
  </r>
  <r>
    <x v="13"/>
    <s v="2026-02"/>
    <s v="1242"/>
    <s v="A_L014_02_v1"/>
    <n v="1242"/>
    <m/>
    <m/>
    <m/>
    <m/>
    <s v="Oddział 14"/>
    <s v="2025-01"/>
    <s v=""/>
    <n v="1242"/>
    <n v="0"/>
    <s v="A_L014_02_v1 "/>
  </r>
  <r>
    <x v="13"/>
    <s v="2026-03"/>
    <s v="1302"/>
    <s v="A_L014_03_v1"/>
    <n v="1302"/>
    <m/>
    <m/>
    <m/>
    <m/>
    <s v="Oddział 14"/>
    <s v="2025-01"/>
    <s v=""/>
    <n v="1302"/>
    <n v="0"/>
    <s v="A_L014_03_v1 "/>
  </r>
  <r>
    <x v="14"/>
    <s v="2026-01"/>
    <s v="1205"/>
    <s v="A_L015_01_v1"/>
    <n v="1205"/>
    <m/>
    <m/>
    <m/>
    <m/>
    <s v="Oddział 15"/>
    <s v="2025-01"/>
    <s v=""/>
    <n v="1205"/>
    <n v="0"/>
    <s v="A_L015_01_v1 "/>
  </r>
  <r>
    <x v="14"/>
    <s v="2026-03"/>
    <s v="1325"/>
    <s v="A_L015_03_v1"/>
    <n v="1325"/>
    <m/>
    <m/>
    <m/>
    <m/>
    <s v="Oddział 15"/>
    <s v="2025-01"/>
    <s v=""/>
    <n v="1325"/>
    <n v="0"/>
    <s v="A_L015_03_v1 "/>
  </r>
  <r>
    <x v="15"/>
    <s v="2026-02"/>
    <s v="1449"/>
    <s v="B_L023_02_v1"/>
    <n v="1449"/>
    <m/>
    <m/>
    <m/>
    <m/>
    <s v="Oddział 23"/>
    <s v="2025-01"/>
    <s v=""/>
    <n v="1449"/>
    <n v="0"/>
    <s v="B_L023_02_v1 "/>
  </r>
  <r>
    <x v="14"/>
    <s v="2026-02"/>
    <s v=""/>
    <m/>
    <m/>
    <s v="K03"/>
    <s v="korekta"/>
    <n v="20"/>
    <s v="Korekta dodająca 20 kWh do odczytu miesięcznego."/>
    <s v="Oddział 15"/>
    <s v="2025-01"/>
    <s v=""/>
    <m/>
    <s v="Brak w starym raporcie"/>
    <s v=" K03"/>
  </r>
  <r>
    <x v="16"/>
    <s v="2026-03"/>
    <s v="1348"/>
    <s v="B_L016_03_v2"/>
    <n v="1288"/>
    <m/>
    <m/>
    <m/>
    <m/>
    <s v="Oddział 16"/>
    <s v="2025-01"/>
    <s v=""/>
    <n v="1288"/>
    <n v="-60"/>
    <s v="B_L016_03_v2 "/>
  </r>
  <r>
    <x v="16"/>
    <s v="2026-01"/>
    <s v="1228"/>
    <s v="B_L016_01_v1"/>
    <n v="1228"/>
    <m/>
    <m/>
    <m/>
    <m/>
    <s v="Oddział 16"/>
    <s v="2025-01"/>
    <s v=""/>
    <n v="1228"/>
    <n v="0"/>
    <s v="B_L016_01_v1 "/>
  </r>
  <r>
    <x v="16"/>
    <s v="2026-02"/>
    <s v="1288"/>
    <s v="B_L016_02_v1"/>
    <n v="1288"/>
    <m/>
    <m/>
    <m/>
    <m/>
    <s v="Oddział 16"/>
    <s v="2025-01"/>
    <s v=""/>
    <n v="1288"/>
    <n v="0"/>
    <s v="B_L016_02_v1 "/>
  </r>
  <r>
    <x v="17"/>
    <s v="2026-01"/>
    <s v="1251"/>
    <s v="B_L017_01_v1"/>
    <n v="1251"/>
    <m/>
    <m/>
    <m/>
    <m/>
    <s v="Oddział 17"/>
    <s v="2025-01"/>
    <s v=""/>
    <n v="1251"/>
    <n v="0"/>
    <s v="B_L017_01_v1 "/>
  </r>
  <r>
    <x v="17"/>
    <s v="2026-02"/>
    <s v="1311"/>
    <s v="B_L017_02_v1"/>
    <n v="1311"/>
    <m/>
    <m/>
    <m/>
    <m/>
    <s v="Oddział 17"/>
    <s v="2025-01"/>
    <s v=""/>
    <n v="1311"/>
    <n v="0"/>
    <s v="B_L017_02_v1 "/>
  </r>
  <r>
    <x v="17"/>
    <s v="2026-03"/>
    <s v="1371"/>
    <s v="B_L017_03_v1"/>
    <n v="1371"/>
    <m/>
    <m/>
    <m/>
    <m/>
    <s v="Oddział 17"/>
    <s v="2025-01"/>
    <s v=""/>
    <n v="1371"/>
    <n v="0"/>
    <s v="B_L017_03_v1 "/>
  </r>
  <r>
    <x v="18"/>
    <s v="2026-01"/>
    <s v="1274"/>
    <s v="B_L018_01_v1"/>
    <n v="1274"/>
    <m/>
    <m/>
    <m/>
    <m/>
    <s v="Oddział 18"/>
    <s v="2025-01"/>
    <s v=""/>
    <n v="1274"/>
    <n v="0"/>
    <s v="B_L018_01_v1 "/>
  </r>
  <r>
    <x v="18"/>
    <s v="2026-02"/>
    <s v="1334"/>
    <s v="B_L018_02_v1"/>
    <n v="1334"/>
    <m/>
    <m/>
    <m/>
    <m/>
    <s v="Oddział 18"/>
    <s v="2025-01"/>
    <s v=""/>
    <n v="1334"/>
    <n v="0"/>
    <s v="B_L018_02_v1 "/>
  </r>
  <r>
    <x v="19"/>
    <s v="2026-01"/>
    <s v="1297"/>
    <s v="B_L019_01_v1"/>
    <n v="1297"/>
    <m/>
    <m/>
    <m/>
    <m/>
    <s v="Oddział 19"/>
    <s v="2025-01"/>
    <s v=""/>
    <n v="1297"/>
    <n v="0"/>
    <s v="B_L019_01_v1 "/>
  </r>
  <r>
    <x v="18"/>
    <s v="2026-03"/>
    <s v=""/>
    <m/>
    <m/>
    <m/>
    <m/>
    <m/>
    <m/>
    <s v="Oddział 18"/>
    <s v="2025-01"/>
    <s v=""/>
    <m/>
    <s v="Brak w starym raporcie"/>
    <s v=" "/>
  </r>
  <r>
    <x v="19"/>
    <s v="2026-02"/>
    <s v="1357"/>
    <s v="B_L019_02_v1"/>
    <n v="1357"/>
    <m/>
    <m/>
    <m/>
    <m/>
    <s v="Oddział 19"/>
    <s v="2025-01"/>
    <s v=""/>
    <n v="1357"/>
    <n v="0"/>
    <s v="B_L019_02_v1 "/>
  </r>
  <r>
    <x v="19"/>
    <s v="2026-03"/>
    <s v="1417"/>
    <s v="B_L019_03_v1"/>
    <n v="1417"/>
    <m/>
    <m/>
    <m/>
    <m/>
    <s v="Oddział 19"/>
    <s v="2025-01"/>
    <s v=""/>
    <n v="1417"/>
    <n v="0"/>
    <s v="B_L019_03_v1 "/>
  </r>
  <r>
    <x v="20"/>
    <s v="2026-01"/>
    <s v="1320"/>
    <s v="B_L020_01_v1"/>
    <n v="1320"/>
    <m/>
    <m/>
    <m/>
    <m/>
    <s v="Oddział 20"/>
    <s v="2025-01"/>
    <s v=""/>
    <n v="1320"/>
    <n v="0"/>
    <s v="B_L020_01_v1 "/>
  </r>
  <r>
    <x v="20"/>
    <s v="2026-02"/>
    <s v="1380"/>
    <s v="B_L020_02_v1"/>
    <n v="1380"/>
    <m/>
    <m/>
    <m/>
    <m/>
    <s v="Oddział 20"/>
    <s v="2025-01"/>
    <s v=""/>
    <n v="1380"/>
    <n v="0"/>
    <s v="B_L020_02_v1 "/>
  </r>
  <r>
    <x v="20"/>
    <s v="2026-03"/>
    <s v="1440"/>
    <s v="B_L020_03_v1"/>
    <n v="1440"/>
    <m/>
    <m/>
    <m/>
    <m/>
    <s v="Oddział 20"/>
    <s v="2025-01"/>
    <s v=""/>
    <n v="1440"/>
    <n v="0"/>
    <s v="B_L020_03_v1 "/>
  </r>
  <r>
    <x v="21"/>
    <s v="2026-01"/>
    <s v="1343"/>
    <s v="B_L021_01_v1"/>
    <n v="1343"/>
    <m/>
    <m/>
    <m/>
    <m/>
    <s v="Oddział 21"/>
    <s v="2025-01"/>
    <s v=""/>
    <n v="1343"/>
    <n v="0"/>
    <s v="B_L021_01_v1 "/>
  </r>
  <r>
    <x v="21"/>
    <s v="2026-02"/>
    <s v="1403"/>
    <s v="B_L021_02_v1"/>
    <n v="1403"/>
    <m/>
    <m/>
    <m/>
    <m/>
    <s v="Oddział 21"/>
    <s v="2025-01"/>
    <s v=""/>
    <n v="1403"/>
    <n v="0"/>
    <s v="B_L021_02_v1 "/>
  </r>
  <r>
    <x v="21"/>
    <s v="2026-03"/>
    <s v="1463"/>
    <s v="B_L021_03_v1"/>
    <n v="1463"/>
    <m/>
    <m/>
    <m/>
    <m/>
    <s v="Oddział 21"/>
    <s v="2025-01"/>
    <s v=""/>
    <n v="1463"/>
    <n v="0"/>
    <s v="B_L021_03_v1 "/>
  </r>
  <r>
    <x v="22"/>
    <s v="2026-01"/>
    <s v="1366"/>
    <s v="B_L022_01_v1"/>
    <n v="1366"/>
    <m/>
    <m/>
    <m/>
    <m/>
    <s v="Oddział 22"/>
    <s v="2025-01"/>
    <s v=""/>
    <n v="1366"/>
    <n v="0"/>
    <s v="B_L022_01_v1 "/>
  </r>
  <r>
    <x v="22"/>
    <s v="2026-02"/>
    <s v="1426"/>
    <s v="B_L022_02_v1"/>
    <n v="1426"/>
    <m/>
    <m/>
    <m/>
    <m/>
    <s v="Oddział 22"/>
    <s v="2025-01"/>
    <s v=""/>
    <n v="1426"/>
    <n v="0"/>
    <s v="B_L022_02_v1 "/>
  </r>
  <r>
    <x v="22"/>
    <s v="2026-03"/>
    <s v="1486"/>
    <s v="B_L022_03_v1"/>
    <n v="1486"/>
    <m/>
    <m/>
    <m/>
    <m/>
    <s v="Oddział 22"/>
    <s v="2025-01"/>
    <s v=""/>
    <n v="1486"/>
    <n v="0"/>
    <s v="B_L022_03_v1 "/>
  </r>
  <r>
    <x v="15"/>
    <s v="2026-01"/>
    <s v="1389"/>
    <s v="B_L023_01_v1"/>
    <n v="1389"/>
    <m/>
    <m/>
    <m/>
    <m/>
    <s v="Oddział 23"/>
    <s v="2025-01"/>
    <s v=""/>
    <n v="1389"/>
    <n v="0"/>
    <s v="B_L023_01_v1 "/>
  </r>
  <r>
    <x v="15"/>
    <s v="2026-03"/>
    <s v="1509"/>
    <s v="B_L023_03_v1"/>
    <n v="1509"/>
    <m/>
    <m/>
    <m/>
    <m/>
    <s v="Oddział 23"/>
    <s v="2025-01"/>
    <s v=""/>
    <n v="1509"/>
    <n v="0"/>
    <s v="B_L023_03_v1 "/>
  </r>
  <r>
    <x v="23"/>
    <s v="2026-01"/>
    <s v="1412"/>
    <s v="B_L024_01_v1"/>
    <n v="1412"/>
    <m/>
    <m/>
    <m/>
    <m/>
    <s v="Oddział 24"/>
    <s v="2025-01"/>
    <s v=""/>
    <n v="1412"/>
    <n v="0"/>
    <s v="B_L024_01_v1 "/>
  </r>
  <r>
    <x v="23"/>
    <s v="2026-02"/>
    <s v="1472"/>
    <s v="B_L024_02_v1"/>
    <n v="1472"/>
    <m/>
    <m/>
    <m/>
    <m/>
    <s v="Oddział 24"/>
    <s v="2025-01"/>
    <s v=""/>
    <n v="1472"/>
    <n v="0"/>
    <s v="B_L024_02_v1 "/>
  </r>
  <r>
    <x v="23"/>
    <s v="2026-03"/>
    <s v="1532"/>
    <s v="B_L024_03_v1"/>
    <n v="1532"/>
    <m/>
    <m/>
    <m/>
    <m/>
    <s v="Oddział 24"/>
    <s v="2025-01"/>
    <s v=""/>
    <n v="1532"/>
    <n v="0"/>
    <s v="B_L024_03_v1 "/>
  </r>
  <r>
    <x v="24"/>
    <s v="2026-01"/>
    <s v="1435"/>
    <s v="B_L025_01_v1"/>
    <n v="1435"/>
    <m/>
    <m/>
    <m/>
    <m/>
    <s v="Oddział 25"/>
    <s v="2025-01"/>
    <s v=""/>
    <n v="1435"/>
    <n v="0"/>
    <s v="B_L025_01_v1 "/>
  </r>
  <r>
    <x v="24"/>
    <s v="2026-03"/>
    <s v="1555"/>
    <s v="B_L025_03_v1"/>
    <n v="1555"/>
    <m/>
    <m/>
    <m/>
    <m/>
    <s v="Oddział 25"/>
    <s v="2025-01"/>
    <s v=""/>
    <n v="1555"/>
    <n v="0"/>
    <s v="B_L025_03_v1 "/>
  </r>
  <r>
    <x v="25"/>
    <s v="2026-01"/>
    <s v="1458"/>
    <s v="B_L026_01_v1"/>
    <n v="1458"/>
    <m/>
    <m/>
    <m/>
    <m/>
    <s v="Oddział 26"/>
    <s v="2025-01"/>
    <s v=""/>
    <n v="1458"/>
    <n v="0"/>
    <s v="B_L026_01_v1 "/>
  </r>
  <r>
    <x v="24"/>
    <s v="2026-02"/>
    <s v=""/>
    <m/>
    <m/>
    <s v="K05"/>
    <s v="nadpisanie"/>
    <n v="900"/>
    <s v="Potwierdzona wartość miesięczna po weryfikacji."/>
    <s v="Oddział 25"/>
    <s v="2025-01"/>
    <s v=""/>
    <n v="900"/>
    <s v="Brak w starym raporcie"/>
    <s v=" K05"/>
  </r>
  <r>
    <x v="25"/>
    <s v="2026-02"/>
    <s v="1518"/>
    <s v="B_L026_02_v1"/>
    <n v="1518"/>
    <m/>
    <m/>
    <m/>
    <m/>
    <s v="Oddział 26"/>
    <s v="2025-01"/>
    <s v=""/>
    <n v="1518"/>
    <n v="0"/>
    <s v="B_L026_02_v1 "/>
  </r>
  <r>
    <x v="25"/>
    <s v="2026-03"/>
    <s v="1578"/>
    <s v="B_L026_03_v1"/>
    <n v="1578"/>
    <m/>
    <m/>
    <m/>
    <m/>
    <s v="Oddział 26"/>
    <s v="2025-01"/>
    <s v=""/>
    <n v="1578"/>
    <n v="0"/>
    <s v="B_L026_03_v1 "/>
  </r>
  <r>
    <x v="26"/>
    <s v="2026-01"/>
    <s v="1481"/>
    <s v="B_L027_01_v1"/>
    <n v="1481"/>
    <m/>
    <m/>
    <m/>
    <m/>
    <s v="Oddział 27"/>
    <s v="2025-01"/>
    <s v=""/>
    <n v="1481"/>
    <n v="0"/>
    <s v="B_L027_01_v1 "/>
  </r>
  <r>
    <x v="26"/>
    <s v="2026-02"/>
    <s v="1541"/>
    <s v="B_L027_02_v1"/>
    <n v="1541"/>
    <m/>
    <m/>
    <m/>
    <m/>
    <s v="Oddział 27"/>
    <s v="2025-01"/>
    <s v=""/>
    <n v="1541"/>
    <n v="0"/>
    <s v="B_L027_02_v1 "/>
  </r>
  <r>
    <x v="26"/>
    <s v="2026-03"/>
    <s v="1601"/>
    <s v="B_L027_03_v1"/>
    <n v="1601"/>
    <m/>
    <m/>
    <m/>
    <m/>
    <s v="Oddział 27"/>
    <s v="2025-01"/>
    <s v=""/>
    <n v="1601"/>
    <n v="0"/>
    <s v="B_L027_03_v1 "/>
  </r>
  <r>
    <x v="27"/>
    <s v="2026-01"/>
    <s v="1504"/>
    <s v="B_L028_01_v1"/>
    <n v="1504"/>
    <m/>
    <m/>
    <m/>
    <m/>
    <s v="Oddział 28"/>
    <s v="2025-01"/>
    <s v=""/>
    <n v="1504"/>
    <n v="0"/>
    <s v="B_L028_01_v1 "/>
  </r>
  <r>
    <x v="27"/>
    <s v="2026-02"/>
    <s v="1564"/>
    <s v="B_L028_02_v1"/>
    <n v="1564"/>
    <m/>
    <m/>
    <m/>
    <m/>
    <s v="Oddział 28"/>
    <s v="2025-01"/>
    <s v=""/>
    <n v="1564"/>
    <n v="0"/>
    <s v="B_L028_02_v1 "/>
  </r>
  <r>
    <x v="27"/>
    <s v="2026-03"/>
    <s v="1624"/>
    <s v="B_L028_03_v1"/>
    <n v="1624"/>
    <m/>
    <m/>
    <m/>
    <m/>
    <s v="Oddział 28"/>
    <s v="2025-01"/>
    <s v=""/>
    <n v="1624"/>
    <n v="0"/>
    <s v="B_L028_03_v1 "/>
  </r>
  <r>
    <x v="28"/>
    <s v="2026-01"/>
    <s v="1527"/>
    <s v="B_L029_01_v1"/>
    <n v="1527"/>
    <m/>
    <m/>
    <m/>
    <m/>
    <s v="Oddział 29"/>
    <s v="2025-01"/>
    <s v="2026-02"/>
    <n v="1527"/>
    <n v="0"/>
    <s v="B_L029_01_v1 "/>
  </r>
  <r>
    <x v="28"/>
    <s v="2026-02"/>
    <s v="1587"/>
    <s v="B_L029_02_v1"/>
    <n v="1587"/>
    <m/>
    <m/>
    <m/>
    <m/>
    <s v="Oddział 29"/>
    <s v="2025-01"/>
    <s v="2026-02"/>
    <n v="1587"/>
    <n v="0"/>
    <s v="B_L029_02_v1 "/>
  </r>
  <r>
    <x v="28"/>
    <s v="2026-03"/>
    <s v="1647"/>
    <s v="B_L029_03_v1"/>
    <n v="1647"/>
    <m/>
    <m/>
    <m/>
    <m/>
    <s v="Oddział 29"/>
    <s v="2025-01"/>
    <s v="2026-02"/>
    <m/>
    <m/>
    <s v="B_L029_03_v1 "/>
  </r>
  <r>
    <x v="29"/>
    <s v="2026-01"/>
    <s v="1550"/>
    <s v="B_L030_01_v1"/>
    <n v="1550"/>
    <m/>
    <m/>
    <m/>
    <m/>
    <s v="Oddział 30"/>
    <s v="2026-02"/>
    <s v=""/>
    <m/>
    <m/>
    <s v="B_L030_01_v1 "/>
  </r>
  <r>
    <x v="29"/>
    <s v="2026-02"/>
    <s v="1610"/>
    <s v="B_L030_02_v1"/>
    <n v="1610"/>
    <m/>
    <m/>
    <m/>
    <m/>
    <s v="Oddział 30"/>
    <s v="2026-02"/>
    <s v=""/>
    <n v="1610"/>
    <n v="0"/>
    <s v="B_L030_02_v1 "/>
  </r>
  <r>
    <x v="29"/>
    <s v="2026-03"/>
    <s v="1670"/>
    <s v="B_L030_03_v1"/>
    <n v="1670"/>
    <m/>
    <m/>
    <m/>
    <m/>
    <s v="Oddział 30"/>
    <s v="2026-02"/>
    <s v=""/>
    <n v="1670"/>
    <n v="0"/>
    <s v="B_L030_03_v1 "/>
  </r>
  <r>
    <x v="30"/>
    <s v="2026-01"/>
    <s v="300"/>
    <s v="A_X999_01_v1"/>
    <n v="300"/>
    <m/>
    <m/>
    <m/>
    <m/>
    <m/>
    <m/>
    <m/>
    <m/>
    <m/>
    <s v="A_X999_01_v1 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FA7682-A66C-418E-A5D4-310C4DA11BAC}" name="PivotTable1" cacheId="15" applyNumberFormats="0" applyBorderFormats="0" applyFontFormats="0" applyPatternFormats="0" applyAlignmentFormats="0" applyWidthHeightFormats="1" dataCaption="Values" grandTotalCaption="Suma" updatedVersion="8" minRefreshableVersion="3" useAutoFormatting="1" itemPrintTitles="1" createdVersion="8" indent="0" outline="1" outlineData="1" multipleFieldFilters="0" rowHeaderCaption="Kod lokalizacji">
  <location ref="A3:C35" firstHeaderRow="0" firstDataRow="1" firstDataCol="1"/>
  <pivotFields count="15"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15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kwh" fld="12" baseField="0" baseItem="0"/>
    <dataField name="Liczba miesięcy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3" xr16:uid="{CC7490F7-A08E-4DB2-845C-0CBCB075AB76}" autoFormatId="16" applyNumberFormats="0" applyBorderFormats="0" applyFontFormats="0" applyPatternFormats="0" applyAlignmentFormats="0" applyWidthHeightFormats="0">
  <queryTableRefresh nextId="17" unboundColumnsRight="3">
    <queryTableFields count="15">
      <queryTableField id="1" name="kod_lok" tableColumnId="1"/>
      <queryTableField id="2" name="miesiac" tableColumnId="2"/>
      <queryTableField id="3" name="zuzycie_kwh" tableColumnId="3"/>
      <queryTableField id="4" name="odczyty_czyste.id_wiersza" tableColumnId="4"/>
      <queryTableField id="5" name="odczyty_czyste.kwh" tableColumnId="5"/>
      <queryTableField id="6" name="historia_zmian.id_zmiany" tableColumnId="6"/>
      <queryTableField id="7" name="historia_zmian.typ" tableColumnId="7"/>
      <queryTableField id="8" name="historia_zmian.wartosc_kwh" tableColumnId="8"/>
      <queryTableField id="9" name="historia_zmian.opis" tableColumnId="9"/>
      <queryTableField id="10" name="lokalizacje.nazwa" tableColumnId="10"/>
      <queryTableField id="11" name="lokalizacje.aktywny_od" tableColumnId="11"/>
      <queryTableField id="12" name="lokalizacje.aktywny_do" tableColumnId="12"/>
      <queryTableField id="13" dataBound="0" tableColumnId="13"/>
      <queryTableField id="15" dataBound="0" tableColumnId="15"/>
      <queryTableField id="16" dataBound="0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0DD7B861-92BD-4125-B3B7-4E08E9B85D05}" autoFormatId="16" applyNumberFormats="0" applyBorderFormats="0" applyFontFormats="0" applyPatternFormats="0" applyAlignmentFormats="0" applyWidthHeightFormats="0">
  <queryTableRefresh nextId="5">
    <queryTableFields count="4">
      <queryTableField id="1" name="kod_lok" tableColumnId="1"/>
      <queryTableField id="2" name="nazwa" tableColumnId="2"/>
      <queryTableField id="3" name="aktywny_od" tableColumnId="3"/>
      <queryTableField id="4" name="aktywny_do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9436EB41-AA11-4F07-9B44-B01779DDF5C7}" autoFormatId="16" applyNumberFormats="0" applyBorderFormats="0" applyFontFormats="0" applyPatternFormats="0" applyAlignmentFormats="0" applyWidthHeightFormats="0">
  <queryTableRefresh nextId="8">
    <queryTableFields count="7">
      <queryTableField id="1" name="id_zmiany" tableColumnId="1"/>
      <queryTableField id="2" name="kod_lok" tableColumnId="2"/>
      <queryTableField id="3" name="miesiac" tableColumnId="3"/>
      <queryTableField id="4" name="typ" tableColumnId="4"/>
      <queryTableField id="5" name="wartosc_kwh" tableColumnId="5"/>
      <queryTableField id="6" name="data_zmiany" tableColumnId="6"/>
      <queryTableField id="7" name="opis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2659D85-0D15-4CCA-AFCB-FD79B89692CF}" autoFormatId="16" applyNumberFormats="0" applyBorderFormats="0" applyFontFormats="0" applyPatternFormats="0" applyAlignmentFormats="0" applyWidthHeightFormats="0">
  <queryTableRefresh nextId="17">
    <queryTableFields count="8">
      <queryTableField id="9" name="id_wiersza" tableColumnId="9"/>
      <queryTableField id="10" name="id_odczytu" tableColumnId="10"/>
      <queryTableField id="11" name="kod_oddzialu" tableColumnId="11"/>
      <queryTableField id="12" name="okres" tableColumnId="12"/>
      <queryTableField id="13" name="zuzycie" tableColumnId="13"/>
      <queryTableField id="14" name="jednostka" tableColumnId="14"/>
      <queryTableField id="15" name="wersja" tableColumnId="15"/>
      <queryTableField id="16" name="data_otrzymania" tableColumnId="1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283A482-BE7B-42E4-8592-810071F923C6}" autoFormatId="16" applyNumberFormats="0" applyBorderFormats="0" applyFontFormats="0" applyPatternFormats="0" applyAlignmentFormats="0" applyWidthHeightFormats="0">
  <queryTableRefresh nextId="9">
    <queryTableFields count="8">
      <queryTableField id="1" name="id_wiersza" tableColumnId="1"/>
      <queryTableField id="2" name="id_odczytu" tableColumnId="2"/>
      <queryTableField id="3" name="kod_oddzialu" tableColumnId="3"/>
      <queryTableField id="4" name="okres" tableColumnId="4"/>
      <queryTableField id="5" name="zuzycie" tableColumnId="5"/>
      <queryTableField id="6" name="jednostka" tableColumnId="6"/>
      <queryTableField id="7" name="wersja" tableColumnId="7"/>
      <queryTableField id="8" name="data_otrzymania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EE1030E9-7DD7-4F9F-842F-7B500F294EFB}" autoFormatId="16" applyNumberFormats="0" applyBorderFormats="0" applyFontFormats="0" applyPatternFormats="0" applyAlignmentFormats="0" applyWidthHeightFormats="0">
  <queryTableRefresh nextId="11">
    <queryTableFields count="10">
      <queryTableField id="1" name="id_wiersza" tableColumnId="1"/>
      <queryTableField id="2" name="id_odczytu" tableColumnId="2"/>
      <queryTableField id="3" name="kod_oddzialu" tableColumnId="3"/>
      <queryTableField id="4" name="okres" tableColumnId="4"/>
      <queryTableField id="5" name="zuzycie" tableColumnId="5"/>
      <queryTableField id="6" name="jednostka" tableColumnId="6"/>
      <queryTableField id="7" name="wersja" tableColumnId="7"/>
      <queryTableField id="8" name="data_otrzymania" tableColumnId="8"/>
      <queryTableField id="9" name="kwh przeliczone" tableColumnId="9"/>
      <queryTableField id="10" name="kwh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E9054B1-2EFF-4A87-8061-51049AACB532}" name="esg_final" displayName="esg_final" ref="A1:O92" tableType="queryTable" totalsRowShown="0">
  <autoFilter ref="A1:O92" xr:uid="{1E9054B1-2EFF-4A87-8061-51049AACB532}"/>
  <sortState xmlns:xlrd2="http://schemas.microsoft.com/office/spreadsheetml/2017/richdata2" ref="A2:O92">
    <sortCondition ref="A1:A92"/>
  </sortState>
  <tableColumns count="15">
    <tableColumn id="1" xr3:uid="{3CA381C6-E408-4792-865B-7C1E2DCF0517}" uniqueName="1" name="kod_lok" queryTableFieldId="1" dataDxfId="45"/>
    <tableColumn id="2" xr3:uid="{FEA76DA7-39BF-4C18-99D4-9F99267D4EC3}" uniqueName="2" name="miesiac" queryTableFieldId="2" dataDxfId="44"/>
    <tableColumn id="3" xr3:uid="{53C29A5D-420B-41D3-9740-DCDF46972081}" uniqueName="3" name="zuzycie_kwh" queryTableFieldId="3" dataDxfId="43"/>
    <tableColumn id="4" xr3:uid="{C5938E7F-CB07-4A63-A356-05A0B137AF87}" uniqueName="4" name="odczyty_czyste.id_wiersza" queryTableFieldId="4" dataDxfId="42"/>
    <tableColumn id="5" xr3:uid="{3439E8E0-B8C3-49EC-906B-2DF23A111959}" uniqueName="5" name="odczyty_czyste.kwh" queryTableFieldId="5"/>
    <tableColumn id="6" xr3:uid="{458D80B0-8EEF-4A3C-8AA2-926D528C8F51}" uniqueName="6" name="historia_zmian.id_zmiany" queryTableFieldId="6" dataDxfId="41"/>
    <tableColumn id="7" xr3:uid="{6B6AD80C-CD56-4867-BADD-87D66B96AE01}" uniqueName="7" name="historia_zmian.typ" queryTableFieldId="7" dataDxfId="40"/>
    <tableColumn id="8" xr3:uid="{BCE3D90B-9ABD-4673-B1C8-E3FBEF1FA7FD}" uniqueName="8" name="historia_zmian.wartosc_kwh" queryTableFieldId="8"/>
    <tableColumn id="9" xr3:uid="{82F229D1-5F3D-47F8-B095-C4939C1C2F87}" uniqueName="9" name="historia_zmian.opis" queryTableFieldId="9" dataDxfId="39"/>
    <tableColumn id="10" xr3:uid="{4B3D472A-87EC-4885-9C5C-7E673FD0FE9D}" uniqueName="10" name="lokalizacje.nazwa" queryTableFieldId="10" dataDxfId="38"/>
    <tableColumn id="11" xr3:uid="{8757DCE6-1F72-4989-BBC3-825250F481D7}" uniqueName="11" name="lokalizacje.aktywny_od" queryTableFieldId="11" dataDxfId="37"/>
    <tableColumn id="12" xr3:uid="{F254FD3D-30F9-46EE-A6D6-E7806A21936E}" uniqueName="12" name="lokalizacje.aktywny_do" queryTableFieldId="12" dataDxfId="36"/>
    <tableColumn id="13" xr3:uid="{9ED1E68B-AB41-4673-81FD-B3048E149455}" uniqueName="13" name="aktualne_kwh" queryTableFieldId="13" dataDxfId="35">
      <calculatedColumnFormula>IF(esg_final[[#This Row],[historia_zmian.typ]]="nadpisanie", esg_final[[#This Row],[historia_zmian.wartosc_kwh]], esg_final[[#This Row],[odczyty_czyste.kwh]] + esg_final[[#This Row],[historia_zmian.wartosc_kwh]])</calculatedColumnFormula>
    </tableColumn>
    <tableColumn id="15" xr3:uid="{35645F97-93D8-4317-9030-9D0996654501}" uniqueName="15" name="roznica_kwh" queryTableFieldId="15" dataDxfId="34">
      <calculatedColumnFormula>IFERROR(esg_final[[#This Row],[aktualne_kwh]] - esg_final[[#This Row],[zuzycie_kwh]], "Brak w starym raporcie")</calculatedColumnFormula>
    </tableColumn>
    <tableColumn id="16" xr3:uid="{F77B27A9-5F9C-419C-9EE3-1FF87A3D5630}" uniqueName="16" name="zordlo_wyniku" queryTableFieldId="16" dataDxfId="33">
      <calculatedColumnFormula>esg_final[[#This Row],[odczyty_czyste.id_wiersza]] &amp; " " &amp; esg_final[[#This Row],[historia_zmian.id_zmiany]]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F71BE1-39F8-4D85-A353-EFEC11977808}" name="lokalizacje" displayName="lokalizacje" ref="A1:D31" tableType="queryTable" totalsRowShown="0">
  <autoFilter ref="A1:D31" xr:uid="{B3F71BE1-39F8-4D85-A353-EFEC11977808}"/>
  <tableColumns count="4">
    <tableColumn id="1" xr3:uid="{7C94153C-C8B3-4257-B2A6-8B798CFABE27}" uniqueName="1" name="kod_lok" queryTableFieldId="1" dataDxfId="32"/>
    <tableColumn id="2" xr3:uid="{30CA9B02-EA30-4DD9-9192-9CACA60820EA}" uniqueName="2" name="nazwa" queryTableFieldId="2" dataDxfId="31"/>
    <tableColumn id="3" xr3:uid="{08F33C5E-23A2-4380-A57D-4271F20C4AB0}" uniqueName="3" name="aktywny_od" queryTableFieldId="3" dataDxfId="30"/>
    <tableColumn id="4" xr3:uid="{9AABA502-9BF0-4FA9-A7FB-47A8C3D59295}" uniqueName="4" name="aktywny_do" queryTableFieldId="4" dataDxfId="2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7E88B4-AFAF-4B53-8C1C-86829B843C03}" name="historia_zmian" displayName="historia_zmian" ref="A1:G6" tableType="queryTable" totalsRowShown="0">
  <autoFilter ref="A1:G6" xr:uid="{9E7E88B4-AFAF-4B53-8C1C-86829B843C03}"/>
  <tableColumns count="7">
    <tableColumn id="1" xr3:uid="{E4AABEA9-9BB0-4B0E-8EC0-E89CBBC144F9}" uniqueName="1" name="id_zmiany" queryTableFieldId="1" dataDxfId="28"/>
    <tableColumn id="2" xr3:uid="{D9C06CF5-24D3-4A84-8C35-2F476B64D1A8}" uniqueName="2" name="kod_lok" queryTableFieldId="2" dataDxfId="27"/>
    <tableColumn id="3" xr3:uid="{023D133B-6482-4AE1-AE8F-E09D3998FA01}" uniqueName="3" name="miesiac" queryTableFieldId="3" dataDxfId="26"/>
    <tableColumn id="4" xr3:uid="{E388B208-D34F-40A9-8721-436E0DF08239}" uniqueName="4" name="typ" queryTableFieldId="4" dataDxfId="25"/>
    <tableColumn id="5" xr3:uid="{57C20B91-D9FC-45E0-8523-D1D0D4E9E732}" uniqueName="5" name="wartosc_kwh" queryTableFieldId="5" dataDxfId="24"/>
    <tableColumn id="6" xr3:uid="{F2D7FE42-803A-49B6-9D6A-8D940E542D16}" uniqueName="6" name="data_zmiany" queryTableFieldId="6" dataDxfId="23"/>
    <tableColumn id="7" xr3:uid="{7641CBDB-6BC6-4A05-B2BB-419DDEEC8CE6}" uniqueName="7" name="opis" queryTableFieldId="7" dataDxfId="2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50B747-F34D-4350-A17B-0DE89DC681EA}" name="dostawca_B" displayName="dostawca_B" ref="A1:H46" tableType="queryTable" totalsRowShown="0">
  <autoFilter ref="A1:H46" xr:uid="{5650B747-F34D-4350-A17B-0DE89DC681EA}"/>
  <tableColumns count="8">
    <tableColumn id="9" xr3:uid="{DF53EEFC-8FF0-4B73-A591-5F3DF4359640}" uniqueName="9" name="id_wiersza" queryTableFieldId="9" dataDxfId="21"/>
    <tableColumn id="10" xr3:uid="{28FE6B1E-2286-43BA-BF1B-950D815BF5C8}" uniqueName="10" name="id_odczytu" queryTableFieldId="10" dataDxfId="20"/>
    <tableColumn id="11" xr3:uid="{A665CC0D-A7D4-47B1-9324-0FDDB006A9F3}" uniqueName="11" name="kod_oddzialu" queryTableFieldId="11" dataDxfId="19"/>
    <tableColumn id="12" xr3:uid="{479AEEF4-7344-4A94-8388-6896342F7E97}" uniqueName="12" name="okres" queryTableFieldId="12" dataDxfId="18"/>
    <tableColumn id="13" xr3:uid="{9E958158-5ED2-4DED-9DA1-2DACDE14ED47}" uniqueName="13" name="zuzycie" queryTableFieldId="13" dataDxfId="17"/>
    <tableColumn id="14" xr3:uid="{222D48BA-EC0C-46AC-B6BC-51BE40A720DE}" uniqueName="14" name="jednostka" queryTableFieldId="14" dataDxfId="16"/>
    <tableColumn id="15" xr3:uid="{EFA730E9-C725-4BB6-9172-1A6445B49EBE}" uniqueName="15" name="wersja" queryTableFieldId="15" dataDxfId="15"/>
    <tableColumn id="16" xr3:uid="{376768FF-C080-42E0-8A92-A2A4EA74CDEC}" uniqueName="16" name="data_otrzymania" queryTableFieldId="16" dataDxfId="1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4F1864-0243-407D-860B-AE497F3B2D35}" name="dostawca_A" displayName="dostawca_A" ref="A1:H47" tableType="queryTable" totalsRowShown="0">
  <autoFilter ref="A1:H47" xr:uid="{E24F1864-0243-407D-860B-AE497F3B2D35}"/>
  <tableColumns count="8">
    <tableColumn id="1" xr3:uid="{AC79C3B3-3DC8-4E67-B504-99142302F75A}" uniqueName="1" name="id_wiersza" queryTableFieldId="1" dataDxfId="13"/>
    <tableColumn id="2" xr3:uid="{06576683-027B-43AB-9739-293A663B4573}" uniqueName="2" name="id_odczytu" queryTableFieldId="2" dataDxfId="12"/>
    <tableColumn id="3" xr3:uid="{CC7AB580-BC38-4EC7-8BC2-B6DEB47E730D}" uniqueName="3" name="kod_oddzialu" queryTableFieldId="3" dataDxfId="11"/>
    <tableColumn id="4" xr3:uid="{50F4832E-1392-43B0-B20E-4E4C5176238F}" uniqueName="4" name="okres" queryTableFieldId="4" dataDxfId="10"/>
    <tableColumn id="5" xr3:uid="{DED62DAB-789B-430E-8FE5-98C2D42941B7}" uniqueName="5" name="zuzycie" queryTableFieldId="5" dataDxfId="9"/>
    <tableColumn id="6" xr3:uid="{EF8A9DBC-2558-486C-9748-BDC34EC923F6}" uniqueName="6" name="jednostka" queryTableFieldId="6" dataDxfId="8"/>
    <tableColumn id="7" xr3:uid="{F638CC5D-63CC-4EB0-913A-F4EDE8951F55}" uniqueName="7" name="wersja" queryTableFieldId="7" dataDxfId="7"/>
    <tableColumn id="8" xr3:uid="{C858CB78-3867-42B5-8FF6-0AA2CD458819}" uniqueName="8" name="data_otrzymania" queryTableFieldId="8" dataDxf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3E8F819-54D8-4697-B6DD-3A30ED4B27C4}" name="odczyty_czyste" displayName="odczyty_czyste" ref="A1:J89" tableType="queryTable" totalsRowShown="0">
  <autoFilter ref="A1:J89" xr:uid="{D3E8F819-54D8-4697-B6DD-3A30ED4B27C4}"/>
  <tableColumns count="10">
    <tableColumn id="1" xr3:uid="{D9AA32F8-C540-43FB-BE2D-5212B7CCA620}" uniqueName="1" name="id_wiersza" queryTableFieldId="1" dataDxfId="5"/>
    <tableColumn id="2" xr3:uid="{64CCFADA-D234-4446-AC12-5FD9806E270A}" uniqueName="2" name="id_odczytu" queryTableFieldId="2" dataDxfId="4"/>
    <tableColumn id="3" xr3:uid="{BDFDF236-0BF9-41AB-A7DF-65322E2C837A}" uniqueName="3" name="kod_oddzialu" queryTableFieldId="3" dataDxfId="3"/>
    <tableColumn id="4" xr3:uid="{1FC2B170-0BEA-4514-8C07-35F2D5552EBE}" uniqueName="4" name="okres" queryTableFieldId="4" dataDxfId="2"/>
    <tableColumn id="5" xr3:uid="{C93A8DCB-51A4-4527-83C8-2C739590B6EA}" uniqueName="5" name="zuzycie" queryTableFieldId="5"/>
    <tableColumn id="6" xr3:uid="{EE6A6BD8-6F8B-44BC-85FA-6E5499950F29}" uniqueName="6" name="jednostka" queryTableFieldId="6" dataDxfId="1"/>
    <tableColumn id="7" xr3:uid="{66D27707-2563-47C1-BB45-9AF1EC16A7F7}" uniqueName="7" name="wersja" queryTableFieldId="7"/>
    <tableColumn id="8" xr3:uid="{BFD779CE-3BA6-41E9-AF73-B4669643A680}" uniqueName="8" name="data_otrzymania" queryTableFieldId="8" dataDxfId="0"/>
    <tableColumn id="9" xr3:uid="{691E22EC-7094-4E55-853B-BD7BF91C6BFE}" uniqueName="9" name="kwh przeliczone" queryTableFieldId="9"/>
    <tableColumn id="10" xr3:uid="{4D398BCC-B64E-4DA8-81B4-B233D0B38AB6}" uniqueName="10" name="kwh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69752-85C0-457E-A8E1-6C71651844F4}">
  <dimension ref="A3:C35"/>
  <sheetViews>
    <sheetView tabSelected="1" zoomScale="85" zoomScaleNormal="85" workbookViewId="0">
      <selection activeCell="T20" sqref="T20"/>
    </sheetView>
  </sheetViews>
  <sheetFormatPr defaultRowHeight="15" x14ac:dyDescent="0.25"/>
  <cols>
    <col min="1" max="1" width="16.140625" bestFit="1" customWidth="1"/>
    <col min="2" max="2" width="10" bestFit="1" customWidth="1"/>
    <col min="3" max="3" width="15.28515625" bestFit="1" customWidth="1"/>
  </cols>
  <sheetData>
    <row r="3" spans="1:3" x14ac:dyDescent="0.25">
      <c r="A3" s="2" t="s">
        <v>394</v>
      </c>
      <c r="B3" t="s">
        <v>393</v>
      </c>
      <c r="C3" t="s">
        <v>392</v>
      </c>
    </row>
    <row r="4" spans="1:3" x14ac:dyDescent="0.25">
      <c r="A4" s="3" t="s">
        <v>15</v>
      </c>
      <c r="B4" s="1">
        <v>2829</v>
      </c>
      <c r="C4" s="1">
        <v>3</v>
      </c>
    </row>
    <row r="5" spans="1:3" x14ac:dyDescent="0.25">
      <c r="A5" s="3" t="s">
        <v>10</v>
      </c>
      <c r="B5" s="1">
        <v>3018</v>
      </c>
      <c r="C5" s="1">
        <v>3</v>
      </c>
    </row>
    <row r="6" spans="1:3" x14ac:dyDescent="0.25">
      <c r="A6" s="3" t="s">
        <v>32</v>
      </c>
      <c r="B6" s="1">
        <v>1978</v>
      </c>
      <c r="C6" s="1">
        <v>2</v>
      </c>
    </row>
    <row r="7" spans="1:3" x14ac:dyDescent="0.25">
      <c r="A7" s="3" t="s">
        <v>39</v>
      </c>
      <c r="B7" s="1">
        <v>2024</v>
      </c>
      <c r="C7" s="1">
        <v>3</v>
      </c>
    </row>
    <row r="8" spans="1:3" x14ac:dyDescent="0.25">
      <c r="A8" s="3" t="s">
        <v>49</v>
      </c>
      <c r="B8" s="1">
        <v>3105</v>
      </c>
      <c r="C8" s="1">
        <v>3</v>
      </c>
    </row>
    <row r="9" spans="1:3" x14ac:dyDescent="0.25">
      <c r="A9" s="3" t="s">
        <v>59</v>
      </c>
      <c r="B9" s="1">
        <v>2116</v>
      </c>
      <c r="C9" s="1">
        <v>2</v>
      </c>
    </row>
    <row r="10" spans="1:3" x14ac:dyDescent="0.25">
      <c r="A10" s="3" t="s">
        <v>69</v>
      </c>
      <c r="B10" s="1">
        <v>3243</v>
      </c>
      <c r="C10" s="1">
        <v>3</v>
      </c>
    </row>
    <row r="11" spans="1:3" x14ac:dyDescent="0.25">
      <c r="A11" s="3" t="s">
        <v>79</v>
      </c>
      <c r="B11" s="1">
        <v>3262</v>
      </c>
      <c r="C11" s="1">
        <v>3</v>
      </c>
    </row>
    <row r="12" spans="1:3" x14ac:dyDescent="0.25">
      <c r="A12" s="3" t="s">
        <v>293</v>
      </c>
      <c r="B12" s="1">
        <v>3381</v>
      </c>
      <c r="C12" s="1">
        <v>3</v>
      </c>
    </row>
    <row r="13" spans="1:3" x14ac:dyDescent="0.25">
      <c r="A13" s="3" t="s">
        <v>100</v>
      </c>
      <c r="B13" s="1">
        <v>3450</v>
      </c>
      <c r="C13" s="1">
        <v>3</v>
      </c>
    </row>
    <row r="14" spans="1:3" x14ac:dyDescent="0.25">
      <c r="A14" s="3" t="s">
        <v>110</v>
      </c>
      <c r="B14" s="1">
        <v>2406</v>
      </c>
      <c r="C14" s="1">
        <v>2</v>
      </c>
    </row>
    <row r="15" spans="1:3" x14ac:dyDescent="0.25">
      <c r="A15" s="3" t="s">
        <v>117</v>
      </c>
      <c r="B15" s="1">
        <v>3628</v>
      </c>
      <c r="C15" s="1">
        <v>3</v>
      </c>
    </row>
    <row r="16" spans="1:3" x14ac:dyDescent="0.25">
      <c r="A16" s="3" t="s">
        <v>127</v>
      </c>
      <c r="B16" s="1">
        <v>3657</v>
      </c>
      <c r="C16" s="1">
        <v>3</v>
      </c>
    </row>
    <row r="17" spans="1:3" x14ac:dyDescent="0.25">
      <c r="A17" s="3" t="s">
        <v>137</v>
      </c>
      <c r="B17" s="1">
        <v>3726</v>
      </c>
      <c r="C17" s="1">
        <v>3</v>
      </c>
    </row>
    <row r="18" spans="1:3" x14ac:dyDescent="0.25">
      <c r="A18" s="3" t="s">
        <v>147</v>
      </c>
      <c r="B18" s="1">
        <v>2530</v>
      </c>
      <c r="C18" s="1">
        <v>2</v>
      </c>
    </row>
    <row r="19" spans="1:3" x14ac:dyDescent="0.25">
      <c r="A19" s="3" t="s">
        <v>163</v>
      </c>
      <c r="B19" s="1">
        <v>3804</v>
      </c>
      <c r="C19" s="1">
        <v>3</v>
      </c>
    </row>
    <row r="20" spans="1:3" x14ac:dyDescent="0.25">
      <c r="A20" s="3" t="s">
        <v>171</v>
      </c>
      <c r="B20" s="1">
        <v>3933</v>
      </c>
      <c r="C20" s="1">
        <v>3</v>
      </c>
    </row>
    <row r="21" spans="1:3" x14ac:dyDescent="0.25">
      <c r="A21" s="3" t="s">
        <v>178</v>
      </c>
      <c r="B21" s="1">
        <v>2608</v>
      </c>
      <c r="C21" s="1">
        <v>2</v>
      </c>
    </row>
    <row r="22" spans="1:3" x14ac:dyDescent="0.25">
      <c r="A22" s="3" t="s">
        <v>183</v>
      </c>
      <c r="B22" s="1">
        <v>4071</v>
      </c>
      <c r="C22" s="1">
        <v>3</v>
      </c>
    </row>
    <row r="23" spans="1:3" x14ac:dyDescent="0.25">
      <c r="A23" s="3" t="s">
        <v>190</v>
      </c>
      <c r="B23" s="1">
        <v>4140</v>
      </c>
      <c r="C23" s="1">
        <v>3</v>
      </c>
    </row>
    <row r="24" spans="1:3" x14ac:dyDescent="0.25">
      <c r="A24" s="3" t="s">
        <v>306</v>
      </c>
      <c r="B24" s="1">
        <v>4209</v>
      </c>
      <c r="C24" s="1">
        <v>3</v>
      </c>
    </row>
    <row r="25" spans="1:3" x14ac:dyDescent="0.25">
      <c r="A25" s="3" t="s">
        <v>204</v>
      </c>
      <c r="B25" s="1">
        <v>4278</v>
      </c>
      <c r="C25" s="1">
        <v>3</v>
      </c>
    </row>
    <row r="26" spans="1:3" x14ac:dyDescent="0.25">
      <c r="A26" s="3" t="s">
        <v>155</v>
      </c>
      <c r="B26" s="1">
        <v>4347</v>
      </c>
      <c r="C26" s="1">
        <v>3</v>
      </c>
    </row>
    <row r="27" spans="1:3" x14ac:dyDescent="0.25">
      <c r="A27" s="3" t="s">
        <v>217</v>
      </c>
      <c r="B27" s="1">
        <v>4416</v>
      </c>
      <c r="C27" s="1">
        <v>3</v>
      </c>
    </row>
    <row r="28" spans="1:3" x14ac:dyDescent="0.25">
      <c r="A28" s="3" t="s">
        <v>224</v>
      </c>
      <c r="B28" s="1">
        <v>3890</v>
      </c>
      <c r="C28" s="1">
        <v>3</v>
      </c>
    </row>
    <row r="29" spans="1:3" x14ac:dyDescent="0.25">
      <c r="A29" s="3" t="s">
        <v>229</v>
      </c>
      <c r="B29" s="1">
        <v>4554</v>
      </c>
      <c r="C29" s="1">
        <v>3</v>
      </c>
    </row>
    <row r="30" spans="1:3" x14ac:dyDescent="0.25">
      <c r="A30" s="3" t="s">
        <v>236</v>
      </c>
      <c r="B30" s="1">
        <v>4623</v>
      </c>
      <c r="C30" s="1">
        <v>3</v>
      </c>
    </row>
    <row r="31" spans="1:3" x14ac:dyDescent="0.25">
      <c r="A31" s="3" t="s">
        <v>243</v>
      </c>
      <c r="B31" s="1">
        <v>4692</v>
      </c>
      <c r="C31" s="1">
        <v>3</v>
      </c>
    </row>
    <row r="32" spans="1:3" x14ac:dyDescent="0.25">
      <c r="A32" s="3" t="s">
        <v>250</v>
      </c>
      <c r="B32" s="1">
        <v>3114</v>
      </c>
      <c r="C32" s="1">
        <v>2</v>
      </c>
    </row>
    <row r="33" spans="1:3" x14ac:dyDescent="0.25">
      <c r="A33" s="3" t="s">
        <v>257</v>
      </c>
      <c r="B33" s="1">
        <v>3280</v>
      </c>
      <c r="C33" s="1">
        <v>2</v>
      </c>
    </row>
    <row r="34" spans="1:3" x14ac:dyDescent="0.25">
      <c r="A34" s="3" t="s">
        <v>159</v>
      </c>
      <c r="B34" s="1"/>
      <c r="C34" s="1"/>
    </row>
    <row r="35" spans="1:3" x14ac:dyDescent="0.25">
      <c r="A35" s="3" t="s">
        <v>395</v>
      </c>
      <c r="B35" s="1">
        <v>104312</v>
      </c>
      <c r="C35" s="1">
        <v>83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DDA98-FC56-484D-9FC0-1C77CB110525}">
  <dimension ref="A1:O92"/>
  <sheetViews>
    <sheetView topLeftCell="A58" zoomScale="70" zoomScaleNormal="70" workbookViewId="0">
      <selection activeCell="N26" sqref="N26"/>
    </sheetView>
  </sheetViews>
  <sheetFormatPr defaultRowHeight="15" x14ac:dyDescent="0.25"/>
  <cols>
    <col min="1" max="1" width="10.140625" bestFit="1" customWidth="1"/>
    <col min="2" max="2" width="10.28515625" bestFit="1" customWidth="1"/>
    <col min="3" max="3" width="14.28515625" bestFit="1" customWidth="1"/>
    <col min="4" max="4" width="27" bestFit="1" customWidth="1"/>
    <col min="5" max="5" width="21.140625" bestFit="1" customWidth="1"/>
    <col min="6" max="6" width="26.140625" bestFit="1" customWidth="1"/>
    <col min="7" max="7" width="20" bestFit="1" customWidth="1"/>
    <col min="8" max="8" width="28.85546875" bestFit="1" customWidth="1"/>
    <col min="9" max="9" width="47.42578125" bestFit="1" customWidth="1"/>
    <col min="10" max="10" width="18.85546875" bestFit="1" customWidth="1"/>
    <col min="11" max="12" width="24.140625" bestFit="1" customWidth="1"/>
    <col min="13" max="13" width="24.140625" customWidth="1"/>
    <col min="15" max="15" width="15.7109375" customWidth="1"/>
  </cols>
  <sheetData>
    <row r="1" spans="1:15" x14ac:dyDescent="0.25">
      <c r="A1" t="s">
        <v>265</v>
      </c>
      <c r="B1" t="s">
        <v>266</v>
      </c>
      <c r="C1" t="s">
        <v>317</v>
      </c>
      <c r="D1" t="s">
        <v>380</v>
      </c>
      <c r="E1" t="s">
        <v>381</v>
      </c>
      <c r="F1" t="s">
        <v>382</v>
      </c>
      <c r="G1" t="s">
        <v>383</v>
      </c>
      <c r="H1" t="s">
        <v>384</v>
      </c>
      <c r="I1" t="s">
        <v>385</v>
      </c>
      <c r="J1" t="s">
        <v>386</v>
      </c>
      <c r="K1" t="s">
        <v>387</v>
      </c>
      <c r="L1" t="s">
        <v>388</v>
      </c>
      <c r="M1" t="s">
        <v>389</v>
      </c>
      <c r="N1" t="s">
        <v>390</v>
      </c>
      <c r="O1" t="s">
        <v>391</v>
      </c>
    </row>
    <row r="2" spans="1:15" x14ac:dyDescent="0.25">
      <c r="A2" s="1" t="s">
        <v>15</v>
      </c>
      <c r="B2" s="1" t="s">
        <v>363</v>
      </c>
      <c r="C2" s="1" t="s">
        <v>16</v>
      </c>
      <c r="D2" s="1" t="s">
        <v>13</v>
      </c>
      <c r="E2">
        <v>883</v>
      </c>
      <c r="F2" s="1"/>
      <c r="G2" s="1"/>
      <c r="I2" s="1"/>
      <c r="J2" s="1" t="s">
        <v>285</v>
      </c>
      <c r="K2" s="1" t="s">
        <v>377</v>
      </c>
      <c r="L2" s="1" t="s">
        <v>318</v>
      </c>
      <c r="M2" s="1">
        <f>IF(esg_final[[#This Row],[historia_zmian.typ]]="nadpisanie", esg_final[[#This Row],[historia_zmian.wartosc_kwh]], esg_final[[#This Row],[odczyty_czyste.kwh]] + esg_final[[#This Row],[historia_zmian.wartosc_kwh]])</f>
        <v>883</v>
      </c>
      <c r="N2" s="1">
        <f>IFERROR(esg_final[[#This Row],[aktualne_kwh]] - esg_final[[#This Row],[zuzycie_kwh]], "Brak w starym raporcie")</f>
        <v>0</v>
      </c>
      <c r="O2" s="1" t="str">
        <f>esg_final[[#This Row],[odczyty_czyste.id_wiersza]] &amp; " " &amp; esg_final[[#This Row],[historia_zmian.id_zmiany]]</f>
        <v xml:space="preserve">A_L001_01_v1 </v>
      </c>
    </row>
    <row r="3" spans="1:15" x14ac:dyDescent="0.25">
      <c r="A3" s="1" t="s">
        <v>15</v>
      </c>
      <c r="B3" s="1" t="s">
        <v>368</v>
      </c>
      <c r="C3" s="1" t="s">
        <v>19</v>
      </c>
      <c r="D3" s="1" t="s">
        <v>17</v>
      </c>
      <c r="E3">
        <v>943</v>
      </c>
      <c r="F3" s="1"/>
      <c r="G3" s="1"/>
      <c r="I3" s="1"/>
      <c r="J3" s="1" t="s">
        <v>285</v>
      </c>
      <c r="K3" s="1" t="s">
        <v>377</v>
      </c>
      <c r="L3" s="1" t="s">
        <v>318</v>
      </c>
      <c r="M3" s="1">
        <f>IF(esg_final[[#This Row],[historia_zmian.typ]]="nadpisanie", esg_final[[#This Row],[historia_zmian.wartosc_kwh]], esg_final[[#This Row],[odczyty_czyste.kwh]] + esg_final[[#This Row],[historia_zmian.wartosc_kwh]])</f>
        <v>943</v>
      </c>
      <c r="N3" s="1">
        <f>IFERROR(esg_final[[#This Row],[aktualne_kwh]] - esg_final[[#This Row],[zuzycie_kwh]], "Brak w starym raporcie")</f>
        <v>0</v>
      </c>
      <c r="O3" s="1" t="str">
        <f>esg_final[[#This Row],[odczyty_czyste.id_wiersza]] &amp; " " &amp; esg_final[[#This Row],[historia_zmian.id_zmiany]]</f>
        <v xml:space="preserve">A_L001_02_v1 </v>
      </c>
    </row>
    <row r="4" spans="1:15" x14ac:dyDescent="0.25">
      <c r="A4" s="1" t="s">
        <v>15</v>
      </c>
      <c r="B4" s="1" t="s">
        <v>369</v>
      </c>
      <c r="C4" s="1" t="s">
        <v>22</v>
      </c>
      <c r="D4" s="1" t="s">
        <v>20</v>
      </c>
      <c r="E4">
        <v>1003</v>
      </c>
      <c r="F4" s="1"/>
      <c r="G4" s="1"/>
      <c r="I4" s="1"/>
      <c r="J4" s="1" t="s">
        <v>285</v>
      </c>
      <c r="K4" s="1" t="s">
        <v>377</v>
      </c>
      <c r="L4" s="1" t="s">
        <v>318</v>
      </c>
      <c r="M4" s="1">
        <f>IF(esg_final[[#This Row],[historia_zmian.typ]]="nadpisanie", esg_final[[#This Row],[historia_zmian.wartosc_kwh]], esg_final[[#This Row],[odczyty_czyste.kwh]] + esg_final[[#This Row],[historia_zmian.wartosc_kwh]])</f>
        <v>1003</v>
      </c>
      <c r="N4" s="1">
        <f>IFERROR(esg_final[[#This Row],[aktualne_kwh]] - esg_final[[#This Row],[zuzycie_kwh]], "Brak w starym raporcie")</f>
        <v>0</v>
      </c>
      <c r="O4" s="1" t="str">
        <f>esg_final[[#This Row],[odczyty_czyste.id_wiersza]] &amp; " " &amp; esg_final[[#This Row],[historia_zmian.id_zmiany]]</f>
        <v xml:space="preserve">A_L001_03_v1 </v>
      </c>
    </row>
    <row r="5" spans="1:15" x14ac:dyDescent="0.25">
      <c r="A5" s="1" t="s">
        <v>10</v>
      </c>
      <c r="B5" s="1" t="s">
        <v>363</v>
      </c>
      <c r="C5" s="1" t="s">
        <v>24</v>
      </c>
      <c r="D5" s="1" t="s">
        <v>8</v>
      </c>
      <c r="E5">
        <v>1026</v>
      </c>
      <c r="F5" s="1"/>
      <c r="G5" s="1"/>
      <c r="I5" s="1"/>
      <c r="J5" s="1" t="s">
        <v>286</v>
      </c>
      <c r="K5" s="1" t="s">
        <v>377</v>
      </c>
      <c r="L5" s="1" t="s">
        <v>318</v>
      </c>
      <c r="M5" s="1">
        <f>IF(esg_final[[#This Row],[historia_zmian.typ]]="nadpisanie", esg_final[[#This Row],[historia_zmian.wartosc_kwh]], esg_final[[#This Row],[odczyty_czyste.kwh]] + esg_final[[#This Row],[historia_zmian.wartosc_kwh]])</f>
        <v>1026</v>
      </c>
      <c r="N5" s="1">
        <f>IFERROR(esg_final[[#This Row],[aktualne_kwh]] - esg_final[[#This Row],[zuzycie_kwh]], "Brak w starym raporcie")</f>
        <v>120</v>
      </c>
      <c r="O5" s="1" t="str">
        <f>esg_final[[#This Row],[odczyty_czyste.id_wiersza]] &amp; " " &amp; esg_final[[#This Row],[historia_zmian.id_zmiany]]</f>
        <v xml:space="preserve">A_L002_01_v2 </v>
      </c>
    </row>
    <row r="6" spans="1:15" x14ac:dyDescent="0.25">
      <c r="A6" s="1" t="s">
        <v>10</v>
      </c>
      <c r="B6" s="1" t="s">
        <v>368</v>
      </c>
      <c r="C6" s="1" t="s">
        <v>27</v>
      </c>
      <c r="D6" s="1" t="s">
        <v>25</v>
      </c>
      <c r="E6">
        <v>966</v>
      </c>
      <c r="F6" s="1"/>
      <c r="G6" s="1"/>
      <c r="I6" s="1"/>
      <c r="J6" s="1" t="s">
        <v>286</v>
      </c>
      <c r="K6" s="1" t="s">
        <v>377</v>
      </c>
      <c r="L6" s="1" t="s">
        <v>318</v>
      </c>
      <c r="M6" s="1">
        <f>IF(esg_final[[#This Row],[historia_zmian.typ]]="nadpisanie", esg_final[[#This Row],[historia_zmian.wartosc_kwh]], esg_final[[#This Row],[odczyty_czyste.kwh]] + esg_final[[#This Row],[historia_zmian.wartosc_kwh]])</f>
        <v>966</v>
      </c>
      <c r="N6" s="1">
        <f>IFERROR(esg_final[[#This Row],[aktualne_kwh]] - esg_final[[#This Row],[zuzycie_kwh]], "Brak w starym raporcie")</f>
        <v>0</v>
      </c>
      <c r="O6" s="1" t="str">
        <f>esg_final[[#This Row],[odczyty_czyste.id_wiersza]] &amp; " " &amp; esg_final[[#This Row],[historia_zmian.id_zmiany]]</f>
        <v xml:space="preserve">A_L002_02_v1 </v>
      </c>
    </row>
    <row r="7" spans="1:15" x14ac:dyDescent="0.25">
      <c r="A7" s="1" t="s">
        <v>10</v>
      </c>
      <c r="B7" s="1" t="s">
        <v>369</v>
      </c>
      <c r="C7" s="1" t="s">
        <v>11</v>
      </c>
      <c r="D7" s="1" t="s">
        <v>28</v>
      </c>
      <c r="E7">
        <v>1026</v>
      </c>
      <c r="F7" s="1"/>
      <c r="G7" s="1"/>
      <c r="I7" s="1"/>
      <c r="J7" s="1" t="s">
        <v>286</v>
      </c>
      <c r="K7" s="1" t="s">
        <v>377</v>
      </c>
      <c r="L7" s="1" t="s">
        <v>318</v>
      </c>
      <c r="M7" s="1">
        <f>IF(esg_final[[#This Row],[historia_zmian.typ]]="nadpisanie", esg_final[[#This Row],[historia_zmian.wartosc_kwh]], esg_final[[#This Row],[odczyty_czyste.kwh]] + esg_final[[#This Row],[historia_zmian.wartosc_kwh]])</f>
        <v>1026</v>
      </c>
      <c r="N7" s="1">
        <f>IFERROR(esg_final[[#This Row],[aktualne_kwh]] - esg_final[[#This Row],[zuzycie_kwh]], "Brak w starym raporcie")</f>
        <v>0</v>
      </c>
      <c r="O7" s="1" t="str">
        <f>esg_final[[#This Row],[odczyty_czyste.id_wiersza]] &amp; " " &amp; esg_final[[#This Row],[historia_zmian.id_zmiany]]</f>
        <v xml:space="preserve">A_L002_03_v1 </v>
      </c>
    </row>
    <row r="8" spans="1:15" x14ac:dyDescent="0.25">
      <c r="A8" s="1" t="s">
        <v>32</v>
      </c>
      <c r="B8" s="1" t="s">
        <v>363</v>
      </c>
      <c r="C8" s="1" t="s">
        <v>33</v>
      </c>
      <c r="D8" s="1" t="s">
        <v>30</v>
      </c>
      <c r="E8">
        <v>929</v>
      </c>
      <c r="F8" s="1"/>
      <c r="G8" s="1"/>
      <c r="I8" s="1"/>
      <c r="J8" s="1" t="s">
        <v>287</v>
      </c>
      <c r="K8" s="1" t="s">
        <v>377</v>
      </c>
      <c r="L8" s="1" t="s">
        <v>318</v>
      </c>
      <c r="M8" s="1">
        <f>IF(esg_final[[#This Row],[historia_zmian.typ]]="nadpisanie", esg_final[[#This Row],[historia_zmian.wartosc_kwh]], esg_final[[#This Row],[odczyty_czyste.kwh]] + esg_final[[#This Row],[historia_zmian.wartosc_kwh]])</f>
        <v>929</v>
      </c>
      <c r="N8" s="1">
        <f>IFERROR(esg_final[[#This Row],[aktualne_kwh]] - esg_final[[#This Row],[zuzycie_kwh]], "Brak w starym raporcie")</f>
        <v>0</v>
      </c>
      <c r="O8" s="1" t="str">
        <f>esg_final[[#This Row],[odczyty_czyste.id_wiersza]] &amp; " " &amp; esg_final[[#This Row],[historia_zmian.id_zmiany]]</f>
        <v xml:space="preserve">A_L003_01_v1 </v>
      </c>
    </row>
    <row r="9" spans="1:15" x14ac:dyDescent="0.25">
      <c r="A9" s="1" t="s">
        <v>32</v>
      </c>
      <c r="B9" s="1" t="s">
        <v>368</v>
      </c>
      <c r="C9" s="1" t="s">
        <v>318</v>
      </c>
      <c r="D9" s="1"/>
      <c r="F9" s="1"/>
      <c r="G9" s="1"/>
      <c r="I9" s="1"/>
      <c r="J9" s="1" t="s">
        <v>287</v>
      </c>
      <c r="K9" s="1" t="s">
        <v>377</v>
      </c>
      <c r="L9" s="1" t="s">
        <v>318</v>
      </c>
      <c r="M9" s="1"/>
      <c r="N9" s="1" t="str">
        <f>IFERROR(esg_final[[#This Row],[aktualne_kwh]] - esg_final[[#This Row],[zuzycie_kwh]], "Brak w starym raporcie")</f>
        <v>Brak w starym raporcie</v>
      </c>
      <c r="O9" s="1" t="str">
        <f>esg_final[[#This Row],[odczyty_czyste.id_wiersza]] &amp; " " &amp; esg_final[[#This Row],[historia_zmian.id_zmiany]]</f>
        <v xml:space="preserve"> </v>
      </c>
    </row>
    <row r="10" spans="1:15" x14ac:dyDescent="0.25">
      <c r="A10" s="1" t="s">
        <v>32</v>
      </c>
      <c r="B10" s="1" t="s">
        <v>369</v>
      </c>
      <c r="C10" s="1" t="s">
        <v>36</v>
      </c>
      <c r="D10" s="1" t="s">
        <v>34</v>
      </c>
      <c r="E10">
        <v>1049</v>
      </c>
      <c r="F10" s="1"/>
      <c r="G10" s="1"/>
      <c r="I10" s="1"/>
      <c r="J10" s="1" t="s">
        <v>287</v>
      </c>
      <c r="K10" s="1" t="s">
        <v>377</v>
      </c>
      <c r="L10" s="1" t="s">
        <v>318</v>
      </c>
      <c r="M10" s="1">
        <f>IF(esg_final[[#This Row],[historia_zmian.typ]]="nadpisanie", esg_final[[#This Row],[historia_zmian.wartosc_kwh]], esg_final[[#This Row],[odczyty_czyste.kwh]] + esg_final[[#This Row],[historia_zmian.wartosc_kwh]])</f>
        <v>1049</v>
      </c>
      <c r="N10" s="1">
        <f>IFERROR(esg_final[[#This Row],[aktualne_kwh]] - esg_final[[#This Row],[zuzycie_kwh]], "Brak w starym raporcie")</f>
        <v>0</v>
      </c>
      <c r="O10" s="1" t="str">
        <f>esg_final[[#This Row],[odczyty_czyste.id_wiersza]] &amp; " " &amp; esg_final[[#This Row],[historia_zmian.id_zmiany]]</f>
        <v xml:space="preserve">A_L003_03_v1 </v>
      </c>
    </row>
    <row r="11" spans="1:15" x14ac:dyDescent="0.25">
      <c r="A11" s="1" t="s">
        <v>39</v>
      </c>
      <c r="B11" s="1" t="s">
        <v>363</v>
      </c>
      <c r="C11" s="1" t="s">
        <v>40</v>
      </c>
      <c r="D11" s="1" t="s">
        <v>37</v>
      </c>
      <c r="E11">
        <v>952</v>
      </c>
      <c r="F11" s="1"/>
      <c r="G11" s="1"/>
      <c r="I11" s="1"/>
      <c r="J11" s="1" t="s">
        <v>288</v>
      </c>
      <c r="K11" s="1" t="s">
        <v>377</v>
      </c>
      <c r="L11" s="1" t="s">
        <v>318</v>
      </c>
      <c r="M11" s="1">
        <f>IF(esg_final[[#This Row],[historia_zmian.typ]]="nadpisanie", esg_final[[#This Row],[historia_zmian.wartosc_kwh]], esg_final[[#This Row],[odczyty_czyste.kwh]] + esg_final[[#This Row],[historia_zmian.wartosc_kwh]])</f>
        <v>952</v>
      </c>
      <c r="N11" s="1">
        <f>IFERROR(esg_final[[#This Row],[aktualne_kwh]] - esg_final[[#This Row],[zuzycie_kwh]], "Brak w starym raporcie")</f>
        <v>0</v>
      </c>
      <c r="O11" s="1" t="str">
        <f>esg_final[[#This Row],[odczyty_czyste.id_wiersza]] &amp; " " &amp; esg_final[[#This Row],[historia_zmian.id_zmiany]]</f>
        <v xml:space="preserve">A_L004_01_v1 </v>
      </c>
    </row>
    <row r="12" spans="1:15" x14ac:dyDescent="0.25">
      <c r="A12" s="1" t="s">
        <v>39</v>
      </c>
      <c r="B12" s="1" t="s">
        <v>368</v>
      </c>
      <c r="C12" s="1" t="s">
        <v>43</v>
      </c>
      <c r="D12" s="1" t="s">
        <v>41</v>
      </c>
      <c r="E12">
        <v>1012</v>
      </c>
      <c r="F12" s="1" t="s">
        <v>271</v>
      </c>
      <c r="G12" s="1" t="s">
        <v>272</v>
      </c>
      <c r="H12">
        <v>0</v>
      </c>
      <c r="I12" s="1" t="s">
        <v>273</v>
      </c>
      <c r="J12" s="1" t="s">
        <v>288</v>
      </c>
      <c r="K12" s="1" t="s">
        <v>377</v>
      </c>
      <c r="L12" s="1" t="s">
        <v>318</v>
      </c>
      <c r="M12" s="1">
        <v>0</v>
      </c>
      <c r="N12" s="1">
        <f>IFERROR(esg_final[[#This Row],[aktualne_kwh]] - esg_final[[#This Row],[zuzycie_kwh]], "Brak w starym raporcie")</f>
        <v>-1012</v>
      </c>
      <c r="O12" s="1" t="str">
        <f>esg_final[[#This Row],[odczyty_czyste.id_wiersza]] &amp; " " &amp; esg_final[[#This Row],[historia_zmian.id_zmiany]]</f>
        <v>A_L004_02_v1 K01</v>
      </c>
    </row>
    <row r="13" spans="1:15" x14ac:dyDescent="0.25">
      <c r="A13" s="1" t="s">
        <v>39</v>
      </c>
      <c r="B13" s="1" t="s">
        <v>369</v>
      </c>
      <c r="C13" s="1" t="s">
        <v>46</v>
      </c>
      <c r="D13" s="1" t="s">
        <v>44</v>
      </c>
      <c r="E13">
        <v>1072</v>
      </c>
      <c r="F13" s="1"/>
      <c r="G13" s="1"/>
      <c r="I13" s="1"/>
      <c r="J13" s="1" t="s">
        <v>288</v>
      </c>
      <c r="K13" s="1" t="s">
        <v>377</v>
      </c>
      <c r="L13" s="1" t="s">
        <v>318</v>
      </c>
      <c r="M13" s="1">
        <f>IF(esg_final[[#This Row],[historia_zmian.typ]]="nadpisanie", esg_final[[#This Row],[historia_zmian.wartosc_kwh]], esg_final[[#This Row],[odczyty_czyste.kwh]] + esg_final[[#This Row],[historia_zmian.wartosc_kwh]])</f>
        <v>1072</v>
      </c>
      <c r="N13" s="1">
        <f>IFERROR(esg_final[[#This Row],[aktualne_kwh]] - esg_final[[#This Row],[zuzycie_kwh]], "Brak w starym raporcie")</f>
        <v>0</v>
      </c>
      <c r="O13" s="1" t="str">
        <f>esg_final[[#This Row],[odczyty_czyste.id_wiersza]] &amp; " " &amp; esg_final[[#This Row],[historia_zmian.id_zmiany]]</f>
        <v xml:space="preserve">A_L004_03_v1 </v>
      </c>
    </row>
    <row r="14" spans="1:15" x14ac:dyDescent="0.25">
      <c r="A14" s="1" t="s">
        <v>49</v>
      </c>
      <c r="B14" s="1" t="s">
        <v>363</v>
      </c>
      <c r="C14" s="1" t="s">
        <v>319</v>
      </c>
      <c r="D14" s="1" t="s">
        <v>47</v>
      </c>
      <c r="E14">
        <v>975</v>
      </c>
      <c r="F14" s="1"/>
      <c r="G14" s="1"/>
      <c r="I14" s="1"/>
      <c r="J14" s="1" t="s">
        <v>289</v>
      </c>
      <c r="K14" s="1" t="s">
        <v>377</v>
      </c>
      <c r="L14" s="1" t="s">
        <v>318</v>
      </c>
      <c r="M14" s="1">
        <f>IF(esg_final[[#This Row],[historia_zmian.typ]]="nadpisanie", esg_final[[#This Row],[historia_zmian.wartosc_kwh]], esg_final[[#This Row],[odczyty_czyste.kwh]] + esg_final[[#This Row],[historia_zmian.wartosc_kwh]])</f>
        <v>975</v>
      </c>
      <c r="N14" s="1">
        <f>IFERROR(esg_final[[#This Row],[aktualne_kwh]] - esg_final[[#This Row],[zuzycie_kwh]], "Brak w starym raporcie")</f>
        <v>-975</v>
      </c>
      <c r="O14" s="1" t="str">
        <f>esg_final[[#This Row],[odczyty_czyste.id_wiersza]] &amp; " " &amp; esg_final[[#This Row],[historia_zmian.id_zmiany]]</f>
        <v xml:space="preserve">A_L005_01_v1 </v>
      </c>
    </row>
    <row r="15" spans="1:15" x14ac:dyDescent="0.25">
      <c r="A15" s="1" t="s">
        <v>49</v>
      </c>
      <c r="B15" s="1" t="s">
        <v>368</v>
      </c>
      <c r="C15" s="1" t="s">
        <v>53</v>
      </c>
      <c r="D15" s="1" t="s">
        <v>51</v>
      </c>
      <c r="E15">
        <v>1035</v>
      </c>
      <c r="F15" s="1"/>
      <c r="G15" s="1"/>
      <c r="I15" s="1"/>
      <c r="J15" s="1" t="s">
        <v>289</v>
      </c>
      <c r="K15" s="1" t="s">
        <v>377</v>
      </c>
      <c r="L15" s="1" t="s">
        <v>318</v>
      </c>
      <c r="M15" s="1">
        <f>IF(esg_final[[#This Row],[historia_zmian.typ]]="nadpisanie", esg_final[[#This Row],[historia_zmian.wartosc_kwh]], esg_final[[#This Row],[odczyty_czyste.kwh]] + esg_final[[#This Row],[historia_zmian.wartosc_kwh]])</f>
        <v>1035</v>
      </c>
      <c r="N15" s="1">
        <f>IFERROR(esg_final[[#This Row],[aktualne_kwh]] - esg_final[[#This Row],[zuzycie_kwh]], "Brak w starym raporcie")</f>
        <v>0</v>
      </c>
      <c r="O15" s="1" t="str">
        <f>esg_final[[#This Row],[odczyty_czyste.id_wiersza]] &amp; " " &amp; esg_final[[#This Row],[historia_zmian.id_zmiany]]</f>
        <v xml:space="preserve">A_L005_02_v1 </v>
      </c>
    </row>
    <row r="16" spans="1:15" x14ac:dyDescent="0.25">
      <c r="A16" s="1" t="s">
        <v>49</v>
      </c>
      <c r="B16" s="1" t="s">
        <v>369</v>
      </c>
      <c r="C16" s="1" t="s">
        <v>56</v>
      </c>
      <c r="D16" s="1" t="s">
        <v>54</v>
      </c>
      <c r="E16">
        <v>1095</v>
      </c>
      <c r="F16" s="1"/>
      <c r="G16" s="1"/>
      <c r="I16" s="1"/>
      <c r="J16" s="1" t="s">
        <v>289</v>
      </c>
      <c r="K16" s="1" t="s">
        <v>377</v>
      </c>
      <c r="L16" s="1" t="s">
        <v>318</v>
      </c>
      <c r="M16" s="1">
        <f>IF(esg_final[[#This Row],[historia_zmian.typ]]="nadpisanie", esg_final[[#This Row],[historia_zmian.wartosc_kwh]], esg_final[[#This Row],[odczyty_czyste.kwh]] + esg_final[[#This Row],[historia_zmian.wartosc_kwh]])</f>
        <v>1095</v>
      </c>
      <c r="N16" s="1">
        <f>IFERROR(esg_final[[#This Row],[aktualne_kwh]] - esg_final[[#This Row],[zuzycie_kwh]], "Brak w starym raporcie")</f>
        <v>0</v>
      </c>
      <c r="O16" s="1" t="str">
        <f>esg_final[[#This Row],[odczyty_czyste.id_wiersza]] &amp; " " &amp; esg_final[[#This Row],[historia_zmian.id_zmiany]]</f>
        <v xml:space="preserve">A_L005_03_v1 </v>
      </c>
    </row>
    <row r="17" spans="1:15" x14ac:dyDescent="0.25">
      <c r="A17" s="1" t="s">
        <v>59</v>
      </c>
      <c r="B17" s="1" t="s">
        <v>363</v>
      </c>
      <c r="C17" s="1" t="s">
        <v>60</v>
      </c>
      <c r="D17" s="1" t="s">
        <v>57</v>
      </c>
      <c r="E17">
        <v>998</v>
      </c>
      <c r="F17" s="1"/>
      <c r="G17" s="1"/>
      <c r="I17" s="1"/>
      <c r="J17" s="1" t="s">
        <v>290</v>
      </c>
      <c r="K17" s="1" t="s">
        <v>377</v>
      </c>
      <c r="L17" s="1" t="s">
        <v>318</v>
      </c>
      <c r="M17" s="1">
        <f>IF(esg_final[[#This Row],[historia_zmian.typ]]="nadpisanie", esg_final[[#This Row],[historia_zmian.wartosc_kwh]], esg_final[[#This Row],[odczyty_czyste.kwh]] + esg_final[[#This Row],[historia_zmian.wartosc_kwh]])</f>
        <v>998</v>
      </c>
      <c r="N17" s="1">
        <f>IFERROR(esg_final[[#This Row],[aktualne_kwh]] - esg_final[[#This Row],[zuzycie_kwh]], "Brak w starym raporcie")</f>
        <v>0</v>
      </c>
      <c r="O17" s="1" t="str">
        <f>esg_final[[#This Row],[odczyty_czyste.id_wiersza]] &amp; " " &amp; esg_final[[#This Row],[historia_zmian.id_zmiany]]</f>
        <v xml:space="preserve">A_L006_01_v1 </v>
      </c>
    </row>
    <row r="18" spans="1:15" x14ac:dyDescent="0.25">
      <c r="A18" s="1" t="s">
        <v>59</v>
      </c>
      <c r="B18" s="1" t="s">
        <v>368</v>
      </c>
      <c r="C18" s="1" t="s">
        <v>63</v>
      </c>
      <c r="D18" s="1" t="s">
        <v>61</v>
      </c>
      <c r="E18">
        <v>0</v>
      </c>
      <c r="F18" s="1"/>
      <c r="G18" s="1"/>
      <c r="I18" s="1"/>
      <c r="J18" s="1" t="s">
        <v>290</v>
      </c>
      <c r="K18" s="1" t="s">
        <v>377</v>
      </c>
      <c r="L18" s="1" t="s">
        <v>318</v>
      </c>
      <c r="M18" s="1"/>
      <c r="N18" s="1">
        <f>IFERROR(esg_final[[#This Row],[aktualne_kwh]] - esg_final[[#This Row],[zuzycie_kwh]], "Brak w starym raporcie")</f>
        <v>0</v>
      </c>
      <c r="O18" s="1" t="str">
        <f>esg_final[[#This Row],[odczyty_czyste.id_wiersza]] &amp; " " &amp; esg_final[[#This Row],[historia_zmian.id_zmiany]]</f>
        <v xml:space="preserve">A_L006_02_v1 </v>
      </c>
    </row>
    <row r="19" spans="1:15" x14ac:dyDescent="0.25">
      <c r="A19" s="1" t="s">
        <v>59</v>
      </c>
      <c r="B19" s="1" t="s">
        <v>369</v>
      </c>
      <c r="C19" s="1" t="s">
        <v>66</v>
      </c>
      <c r="D19" s="1" t="s">
        <v>64</v>
      </c>
      <c r="E19">
        <v>1118</v>
      </c>
      <c r="F19" s="1"/>
      <c r="G19" s="1"/>
      <c r="I19" s="1"/>
      <c r="J19" s="1" t="s">
        <v>290</v>
      </c>
      <c r="K19" s="1" t="s">
        <v>377</v>
      </c>
      <c r="L19" s="1" t="s">
        <v>318</v>
      </c>
      <c r="M19" s="1">
        <f>IF(esg_final[[#This Row],[historia_zmian.typ]]="nadpisanie", esg_final[[#This Row],[historia_zmian.wartosc_kwh]], esg_final[[#This Row],[odczyty_czyste.kwh]] + esg_final[[#This Row],[historia_zmian.wartosc_kwh]])</f>
        <v>1118</v>
      </c>
      <c r="N19" s="1">
        <f>IFERROR(esg_final[[#This Row],[aktualne_kwh]] - esg_final[[#This Row],[zuzycie_kwh]], "Brak w starym raporcie")</f>
        <v>0</v>
      </c>
      <c r="O19" s="1" t="str">
        <f>esg_final[[#This Row],[odczyty_czyste.id_wiersza]] &amp; " " &amp; esg_final[[#This Row],[historia_zmian.id_zmiany]]</f>
        <v xml:space="preserve">A_L006_03_v1 </v>
      </c>
    </row>
    <row r="20" spans="1:15" x14ac:dyDescent="0.25">
      <c r="A20" s="1" t="s">
        <v>69</v>
      </c>
      <c r="B20" s="1" t="s">
        <v>363</v>
      </c>
      <c r="C20" s="1" t="s">
        <v>70</v>
      </c>
      <c r="D20" s="1" t="s">
        <v>67</v>
      </c>
      <c r="E20">
        <v>1021</v>
      </c>
      <c r="F20" s="1"/>
      <c r="G20" s="1"/>
      <c r="I20" s="1"/>
      <c r="J20" s="1" t="s">
        <v>291</v>
      </c>
      <c r="K20" s="1" t="s">
        <v>377</v>
      </c>
      <c r="L20" s="1" t="s">
        <v>318</v>
      </c>
      <c r="M20" s="1">
        <f>IF(esg_final[[#This Row],[historia_zmian.typ]]="nadpisanie", esg_final[[#This Row],[historia_zmian.wartosc_kwh]], esg_final[[#This Row],[odczyty_czyste.kwh]] + esg_final[[#This Row],[historia_zmian.wartosc_kwh]])</f>
        <v>1021</v>
      </c>
      <c r="N20" s="1">
        <f>IFERROR(esg_final[[#This Row],[aktualne_kwh]] - esg_final[[#This Row],[zuzycie_kwh]], "Brak w starym raporcie")</f>
        <v>0</v>
      </c>
      <c r="O20" s="1" t="str">
        <f>esg_final[[#This Row],[odczyty_czyste.id_wiersza]] &amp; " " &amp; esg_final[[#This Row],[historia_zmian.id_zmiany]]</f>
        <v xml:space="preserve">A_L007_01_v1 </v>
      </c>
    </row>
    <row r="21" spans="1:15" x14ac:dyDescent="0.25">
      <c r="A21" s="1" t="s">
        <v>69</v>
      </c>
      <c r="B21" s="1" t="s">
        <v>368</v>
      </c>
      <c r="C21" s="1" t="s">
        <v>73</v>
      </c>
      <c r="D21" s="1" t="s">
        <v>71</v>
      </c>
      <c r="E21">
        <v>1081</v>
      </c>
      <c r="F21" s="1"/>
      <c r="G21" s="1"/>
      <c r="I21" s="1"/>
      <c r="J21" s="1" t="s">
        <v>291</v>
      </c>
      <c r="K21" s="1" t="s">
        <v>377</v>
      </c>
      <c r="L21" s="1" t="s">
        <v>318</v>
      </c>
      <c r="M21" s="1">
        <f>IF(esg_final[[#This Row],[historia_zmian.typ]]="nadpisanie", esg_final[[#This Row],[historia_zmian.wartosc_kwh]], esg_final[[#This Row],[odczyty_czyste.kwh]] + esg_final[[#This Row],[historia_zmian.wartosc_kwh]])</f>
        <v>1081</v>
      </c>
      <c r="N21" s="1">
        <f>IFERROR(esg_final[[#This Row],[aktualne_kwh]] - esg_final[[#This Row],[zuzycie_kwh]], "Brak w starym raporcie")</f>
        <v>0</v>
      </c>
      <c r="O21" s="1" t="str">
        <f>esg_final[[#This Row],[odczyty_czyste.id_wiersza]] &amp; " " &amp; esg_final[[#This Row],[historia_zmian.id_zmiany]]</f>
        <v xml:space="preserve">A_L007_02_v1 </v>
      </c>
    </row>
    <row r="22" spans="1:15" x14ac:dyDescent="0.25">
      <c r="A22" s="1" t="s">
        <v>69</v>
      </c>
      <c r="B22" s="1" t="s">
        <v>369</v>
      </c>
      <c r="C22" s="1" t="s">
        <v>76</v>
      </c>
      <c r="D22" s="1" t="s">
        <v>74</v>
      </c>
      <c r="E22">
        <v>1141</v>
      </c>
      <c r="F22" s="1"/>
      <c r="G22" s="1"/>
      <c r="I22" s="1"/>
      <c r="J22" s="1" t="s">
        <v>291</v>
      </c>
      <c r="K22" s="1" t="s">
        <v>377</v>
      </c>
      <c r="L22" s="1" t="s">
        <v>318</v>
      </c>
      <c r="M22" s="1">
        <f>IF(esg_final[[#This Row],[historia_zmian.typ]]="nadpisanie", esg_final[[#This Row],[historia_zmian.wartosc_kwh]], esg_final[[#This Row],[odczyty_czyste.kwh]] + esg_final[[#This Row],[historia_zmian.wartosc_kwh]])</f>
        <v>1141</v>
      </c>
      <c r="N22" s="1">
        <f>IFERROR(esg_final[[#This Row],[aktualne_kwh]] - esg_final[[#This Row],[zuzycie_kwh]], "Brak w starym raporcie")</f>
        <v>0</v>
      </c>
      <c r="O22" s="1" t="str">
        <f>esg_final[[#This Row],[odczyty_czyste.id_wiersza]] &amp; " " &amp; esg_final[[#This Row],[historia_zmian.id_zmiany]]</f>
        <v xml:space="preserve">A_L007_03_v1 </v>
      </c>
    </row>
    <row r="23" spans="1:15" x14ac:dyDescent="0.25">
      <c r="A23" s="1" t="s">
        <v>79</v>
      </c>
      <c r="B23" s="1" t="s">
        <v>363</v>
      </c>
      <c r="C23" s="1" t="s">
        <v>80</v>
      </c>
      <c r="D23" s="1" t="s">
        <v>77</v>
      </c>
      <c r="E23">
        <v>1044</v>
      </c>
      <c r="F23" s="1"/>
      <c r="G23" s="1"/>
      <c r="I23" s="1"/>
      <c r="J23" s="1" t="s">
        <v>292</v>
      </c>
      <c r="K23" s="1" t="s">
        <v>377</v>
      </c>
      <c r="L23" s="1" t="s">
        <v>318</v>
      </c>
      <c r="M23" s="1">
        <f>IF(esg_final[[#This Row],[historia_zmian.typ]]="nadpisanie", esg_final[[#This Row],[historia_zmian.wartosc_kwh]], esg_final[[#This Row],[odczyty_czyste.kwh]] + esg_final[[#This Row],[historia_zmian.wartosc_kwh]])</f>
        <v>1044</v>
      </c>
      <c r="N23" s="1">
        <f>IFERROR(esg_final[[#This Row],[aktualne_kwh]] - esg_final[[#This Row],[zuzycie_kwh]], "Brak w starym raporcie")</f>
        <v>0</v>
      </c>
      <c r="O23" s="1" t="str">
        <f>esg_final[[#This Row],[odczyty_czyste.id_wiersza]] &amp; " " &amp; esg_final[[#This Row],[historia_zmian.id_zmiany]]</f>
        <v xml:space="preserve">A_L008_01_v1 </v>
      </c>
    </row>
    <row r="24" spans="1:15" x14ac:dyDescent="0.25">
      <c r="A24" s="1" t="s">
        <v>79</v>
      </c>
      <c r="B24" s="1" t="s">
        <v>368</v>
      </c>
      <c r="C24" s="1" t="s">
        <v>83</v>
      </c>
      <c r="D24" s="1" t="s">
        <v>81</v>
      </c>
      <c r="E24">
        <v>1104</v>
      </c>
      <c r="F24" s="1"/>
      <c r="G24" s="1"/>
      <c r="I24" s="1"/>
      <c r="J24" s="1" t="s">
        <v>292</v>
      </c>
      <c r="K24" s="1" t="s">
        <v>377</v>
      </c>
      <c r="L24" s="1" t="s">
        <v>318</v>
      </c>
      <c r="M24" s="1">
        <f>IF(esg_final[[#This Row],[historia_zmian.typ]]="nadpisanie", esg_final[[#This Row],[historia_zmian.wartosc_kwh]], esg_final[[#This Row],[odczyty_czyste.kwh]] + esg_final[[#This Row],[historia_zmian.wartosc_kwh]])</f>
        <v>1104</v>
      </c>
      <c r="N24" s="1">
        <f>IFERROR(esg_final[[#This Row],[aktualne_kwh]] - esg_final[[#This Row],[zuzycie_kwh]], "Brak w starym raporcie")</f>
        <v>0</v>
      </c>
      <c r="O24" s="1" t="str">
        <f>esg_final[[#This Row],[odczyty_czyste.id_wiersza]] &amp; " " &amp; esg_final[[#This Row],[historia_zmian.id_zmiany]]</f>
        <v xml:space="preserve">A_L008_02_v1 </v>
      </c>
    </row>
    <row r="25" spans="1:15" x14ac:dyDescent="0.25">
      <c r="A25" s="1" t="s">
        <v>79</v>
      </c>
      <c r="B25" s="1" t="s">
        <v>369</v>
      </c>
      <c r="C25" s="1" t="s">
        <v>86</v>
      </c>
      <c r="D25" s="1" t="s">
        <v>84</v>
      </c>
      <c r="E25">
        <v>1164</v>
      </c>
      <c r="F25" s="1" t="s">
        <v>274</v>
      </c>
      <c r="G25" s="1" t="s">
        <v>275</v>
      </c>
      <c r="H25">
        <v>-50</v>
      </c>
      <c r="I25" s="1" t="s">
        <v>276</v>
      </c>
      <c r="J25" s="1" t="s">
        <v>292</v>
      </c>
      <c r="K25" s="1" t="s">
        <v>377</v>
      </c>
      <c r="L25" s="1" t="s">
        <v>318</v>
      </c>
      <c r="M25" s="1">
        <f>IF(esg_final[[#This Row],[historia_zmian.typ]]="nadpisanie", esg_final[[#This Row],[historia_zmian.wartosc_kwh]], esg_final[[#This Row],[odczyty_czyste.kwh]] + esg_final[[#This Row],[historia_zmian.wartosc_kwh]])</f>
        <v>1114</v>
      </c>
      <c r="N25" s="1">
        <f>IFERROR(esg_final[[#This Row],[aktualne_kwh]] - esg_final[[#This Row],[zuzycie_kwh]], "Brak w starym raporcie")</f>
        <v>-50</v>
      </c>
      <c r="O25" s="1" t="str">
        <f>esg_final[[#This Row],[odczyty_czyste.id_wiersza]] &amp; " " &amp; esg_final[[#This Row],[historia_zmian.id_zmiany]]</f>
        <v>A_L008_03_v1 K02</v>
      </c>
    </row>
    <row r="26" spans="1:15" x14ac:dyDescent="0.25">
      <c r="A26" s="1" t="s">
        <v>293</v>
      </c>
      <c r="B26" s="1" t="s">
        <v>363</v>
      </c>
      <c r="C26" s="1">
        <v>1.07</v>
      </c>
      <c r="D26" s="1" t="s">
        <v>87</v>
      </c>
      <c r="E26">
        <v>1067</v>
      </c>
      <c r="F26" s="1"/>
      <c r="G26" s="1"/>
      <c r="I26" s="1"/>
      <c r="J26" s="1" t="s">
        <v>294</v>
      </c>
      <c r="K26" s="1" t="s">
        <v>377</v>
      </c>
      <c r="L26" s="1" t="s">
        <v>318</v>
      </c>
      <c r="M26" s="1">
        <f>IF(esg_final[[#This Row],[historia_zmian.typ]]="nadpisanie", esg_final[[#This Row],[historia_zmian.wartosc_kwh]], esg_final[[#This Row],[odczyty_czyste.kwh]] + esg_final[[#This Row],[historia_zmian.wartosc_kwh]])</f>
        <v>1067</v>
      </c>
      <c r="N26" s="1">
        <f>IFERROR(esg_final[[#This Row],[aktualne_kwh]] - esg_final[[#This Row],[zuzycie_kwh]], "Brak w starym raporcie")</f>
        <v>1065.93</v>
      </c>
      <c r="O26" s="1" t="str">
        <f>esg_final[[#This Row],[odczyty_czyste.id_wiersza]] &amp; " " &amp; esg_final[[#This Row],[historia_zmian.id_zmiany]]</f>
        <v xml:space="preserve">A_L009_01_v1 </v>
      </c>
    </row>
    <row r="27" spans="1:15" x14ac:dyDescent="0.25">
      <c r="A27" s="1" t="s">
        <v>293</v>
      </c>
      <c r="B27" s="1" t="s">
        <v>368</v>
      </c>
      <c r="C27" s="1" t="s">
        <v>94</v>
      </c>
      <c r="D27" s="1" t="s">
        <v>92</v>
      </c>
      <c r="E27">
        <v>1127</v>
      </c>
      <c r="F27" s="1"/>
      <c r="G27" s="1"/>
      <c r="I27" s="1"/>
      <c r="J27" s="1" t="s">
        <v>294</v>
      </c>
      <c r="K27" s="1" t="s">
        <v>377</v>
      </c>
      <c r="L27" s="1" t="s">
        <v>318</v>
      </c>
      <c r="M27" s="1">
        <f>IF(esg_final[[#This Row],[historia_zmian.typ]]="nadpisanie", esg_final[[#This Row],[historia_zmian.wartosc_kwh]], esg_final[[#This Row],[odczyty_czyste.kwh]] + esg_final[[#This Row],[historia_zmian.wartosc_kwh]])</f>
        <v>1127</v>
      </c>
      <c r="N27" s="1">
        <f>IFERROR(esg_final[[#This Row],[aktualne_kwh]] - esg_final[[#This Row],[zuzycie_kwh]], "Brak w starym raporcie")</f>
        <v>0</v>
      </c>
      <c r="O27" s="1" t="str">
        <f>esg_final[[#This Row],[odczyty_czyste.id_wiersza]] &amp; " " &amp; esg_final[[#This Row],[historia_zmian.id_zmiany]]</f>
        <v xml:space="preserve">A_L009_02_v1 </v>
      </c>
    </row>
    <row r="28" spans="1:15" x14ac:dyDescent="0.25">
      <c r="A28" s="1" t="s">
        <v>293</v>
      </c>
      <c r="B28" s="1" t="s">
        <v>369</v>
      </c>
      <c r="C28" s="1" t="s">
        <v>97</v>
      </c>
      <c r="D28" s="1" t="s">
        <v>95</v>
      </c>
      <c r="E28">
        <v>1187</v>
      </c>
      <c r="F28" s="1"/>
      <c r="G28" s="1"/>
      <c r="I28" s="1"/>
      <c r="J28" s="1" t="s">
        <v>294</v>
      </c>
      <c r="K28" s="1" t="s">
        <v>377</v>
      </c>
      <c r="L28" s="1" t="s">
        <v>318</v>
      </c>
      <c r="M28" s="1">
        <f>IF(esg_final[[#This Row],[historia_zmian.typ]]="nadpisanie", esg_final[[#This Row],[historia_zmian.wartosc_kwh]], esg_final[[#This Row],[odczyty_czyste.kwh]] + esg_final[[#This Row],[historia_zmian.wartosc_kwh]])</f>
        <v>1187</v>
      </c>
      <c r="N28" s="1">
        <f>IFERROR(esg_final[[#This Row],[aktualne_kwh]] - esg_final[[#This Row],[zuzycie_kwh]], "Brak w starym raporcie")</f>
        <v>0</v>
      </c>
      <c r="O28" s="1" t="str">
        <f>esg_final[[#This Row],[odczyty_czyste.id_wiersza]] &amp; " " &amp; esg_final[[#This Row],[historia_zmian.id_zmiany]]</f>
        <v xml:space="preserve">A_L009_03_v1 </v>
      </c>
    </row>
    <row r="29" spans="1:15" x14ac:dyDescent="0.25">
      <c r="A29" s="1" t="s">
        <v>100</v>
      </c>
      <c r="B29" s="1" t="s">
        <v>363</v>
      </c>
      <c r="C29" s="1" t="s">
        <v>101</v>
      </c>
      <c r="D29" s="1" t="s">
        <v>98</v>
      </c>
      <c r="E29">
        <v>1090</v>
      </c>
      <c r="F29" s="1"/>
      <c r="G29" s="1"/>
      <c r="I29" s="1"/>
      <c r="J29" s="1" t="s">
        <v>295</v>
      </c>
      <c r="K29" s="1" t="s">
        <v>377</v>
      </c>
      <c r="L29" s="1" t="s">
        <v>318</v>
      </c>
      <c r="M29" s="1">
        <f>IF(esg_final[[#This Row],[historia_zmian.typ]]="nadpisanie", esg_final[[#This Row],[historia_zmian.wartosc_kwh]], esg_final[[#This Row],[odczyty_czyste.kwh]] + esg_final[[#This Row],[historia_zmian.wartosc_kwh]])</f>
        <v>1090</v>
      </c>
      <c r="N29" s="1">
        <f>IFERROR(esg_final[[#This Row],[aktualne_kwh]] - esg_final[[#This Row],[zuzycie_kwh]], "Brak w starym raporcie")</f>
        <v>0</v>
      </c>
      <c r="O29" s="1" t="str">
        <f>esg_final[[#This Row],[odczyty_czyste.id_wiersza]] &amp; " " &amp; esg_final[[#This Row],[historia_zmian.id_zmiany]]</f>
        <v xml:space="preserve">A_L010_01_v1 </v>
      </c>
    </row>
    <row r="30" spans="1:15" x14ac:dyDescent="0.25">
      <c r="A30" s="1" t="s">
        <v>100</v>
      </c>
      <c r="B30" s="1" t="s">
        <v>368</v>
      </c>
      <c r="C30" s="1" t="s">
        <v>104</v>
      </c>
      <c r="D30" s="1" t="s">
        <v>102</v>
      </c>
      <c r="E30">
        <v>1150</v>
      </c>
      <c r="F30" s="1"/>
      <c r="G30" s="1"/>
      <c r="I30" s="1"/>
      <c r="J30" s="1" t="s">
        <v>295</v>
      </c>
      <c r="K30" s="1" t="s">
        <v>377</v>
      </c>
      <c r="L30" s="1" t="s">
        <v>318</v>
      </c>
      <c r="M30" s="1">
        <f>IF(esg_final[[#This Row],[historia_zmian.typ]]="nadpisanie", esg_final[[#This Row],[historia_zmian.wartosc_kwh]], esg_final[[#This Row],[odczyty_czyste.kwh]] + esg_final[[#This Row],[historia_zmian.wartosc_kwh]])</f>
        <v>1150</v>
      </c>
      <c r="N30" s="1">
        <f>IFERROR(esg_final[[#This Row],[aktualne_kwh]] - esg_final[[#This Row],[zuzycie_kwh]], "Brak w starym raporcie")</f>
        <v>0</v>
      </c>
      <c r="O30" s="1" t="str">
        <f>esg_final[[#This Row],[odczyty_czyste.id_wiersza]] &amp; " " &amp; esg_final[[#This Row],[historia_zmian.id_zmiany]]</f>
        <v xml:space="preserve">A_L010_02_v1 </v>
      </c>
    </row>
    <row r="31" spans="1:15" x14ac:dyDescent="0.25">
      <c r="A31" s="1" t="s">
        <v>100</v>
      </c>
      <c r="B31" s="1" t="s">
        <v>369</v>
      </c>
      <c r="C31" s="1" t="s">
        <v>107</v>
      </c>
      <c r="D31" s="1" t="s">
        <v>105</v>
      </c>
      <c r="E31">
        <v>1210</v>
      </c>
      <c r="F31" s="1"/>
      <c r="G31" s="1"/>
      <c r="I31" s="1"/>
      <c r="J31" s="1" t="s">
        <v>295</v>
      </c>
      <c r="K31" s="1" t="s">
        <v>377</v>
      </c>
      <c r="L31" s="1" t="s">
        <v>318</v>
      </c>
      <c r="M31" s="1">
        <f>IF(esg_final[[#This Row],[historia_zmian.typ]]="nadpisanie", esg_final[[#This Row],[historia_zmian.wartosc_kwh]], esg_final[[#This Row],[odczyty_czyste.kwh]] + esg_final[[#This Row],[historia_zmian.wartosc_kwh]])</f>
        <v>1210</v>
      </c>
      <c r="N31" s="1">
        <f>IFERROR(esg_final[[#This Row],[aktualne_kwh]] - esg_final[[#This Row],[zuzycie_kwh]], "Brak w starym raporcie")</f>
        <v>0</v>
      </c>
      <c r="O31" s="1" t="str">
        <f>esg_final[[#This Row],[odczyty_czyste.id_wiersza]] &amp; " " &amp; esg_final[[#This Row],[historia_zmian.id_zmiany]]</f>
        <v xml:space="preserve">A_L010_03_v1 </v>
      </c>
    </row>
    <row r="32" spans="1:15" x14ac:dyDescent="0.25">
      <c r="A32" s="1" t="s">
        <v>110</v>
      </c>
      <c r="B32" s="1" t="s">
        <v>368</v>
      </c>
      <c r="C32" s="1" t="s">
        <v>111</v>
      </c>
      <c r="D32" s="1" t="s">
        <v>108</v>
      </c>
      <c r="E32">
        <v>1173</v>
      </c>
      <c r="F32" s="1"/>
      <c r="G32" s="1"/>
      <c r="I32" s="1"/>
      <c r="J32" s="1" t="s">
        <v>296</v>
      </c>
      <c r="K32" s="1" t="s">
        <v>377</v>
      </c>
      <c r="L32" s="1" t="s">
        <v>318</v>
      </c>
      <c r="M32" s="1">
        <f>IF(esg_final[[#This Row],[historia_zmian.typ]]="nadpisanie", esg_final[[#This Row],[historia_zmian.wartosc_kwh]], esg_final[[#This Row],[odczyty_czyste.kwh]] + esg_final[[#This Row],[historia_zmian.wartosc_kwh]])</f>
        <v>1173</v>
      </c>
      <c r="N32" s="1">
        <f>IFERROR(esg_final[[#This Row],[aktualne_kwh]] - esg_final[[#This Row],[zuzycie_kwh]], "Brak w starym raporcie")</f>
        <v>0</v>
      </c>
      <c r="O32" s="1" t="str">
        <f>esg_final[[#This Row],[odczyty_czyste.id_wiersza]] &amp; " " &amp; esg_final[[#This Row],[historia_zmian.id_zmiany]]</f>
        <v xml:space="preserve">A_L011_02_v1 </v>
      </c>
    </row>
    <row r="33" spans="1:15" x14ac:dyDescent="0.25">
      <c r="A33" s="1" t="s">
        <v>110</v>
      </c>
      <c r="B33" s="1" t="s">
        <v>363</v>
      </c>
      <c r="C33" s="1" t="s">
        <v>318</v>
      </c>
      <c r="D33" s="1"/>
      <c r="F33" s="1"/>
      <c r="G33" s="1"/>
      <c r="I33" s="1"/>
      <c r="J33" s="1" t="s">
        <v>296</v>
      </c>
      <c r="K33" s="1" t="s">
        <v>377</v>
      </c>
      <c r="L33" s="1" t="s">
        <v>318</v>
      </c>
      <c r="M33" s="1"/>
      <c r="N33" s="1" t="str">
        <f>IFERROR(esg_final[[#This Row],[aktualne_kwh]] - esg_final[[#This Row],[zuzycie_kwh]], "Brak w starym raporcie")</f>
        <v>Brak w starym raporcie</v>
      </c>
      <c r="O33" s="1" t="str">
        <f>esg_final[[#This Row],[odczyty_czyste.id_wiersza]] &amp; " " &amp; esg_final[[#This Row],[historia_zmian.id_zmiany]]</f>
        <v xml:space="preserve"> </v>
      </c>
    </row>
    <row r="34" spans="1:15" x14ac:dyDescent="0.25">
      <c r="A34" s="1" t="s">
        <v>110</v>
      </c>
      <c r="B34" s="1" t="s">
        <v>369</v>
      </c>
      <c r="C34" s="1" t="s">
        <v>114</v>
      </c>
      <c r="D34" s="1" t="s">
        <v>112</v>
      </c>
      <c r="E34">
        <v>1233</v>
      </c>
      <c r="F34" s="1"/>
      <c r="G34" s="1"/>
      <c r="I34" s="1"/>
      <c r="J34" s="1" t="s">
        <v>296</v>
      </c>
      <c r="K34" s="1" t="s">
        <v>377</v>
      </c>
      <c r="L34" s="1" t="s">
        <v>318</v>
      </c>
      <c r="M34" s="1">
        <f>IF(esg_final[[#This Row],[historia_zmian.typ]]="nadpisanie", esg_final[[#This Row],[historia_zmian.wartosc_kwh]], esg_final[[#This Row],[odczyty_czyste.kwh]] + esg_final[[#This Row],[historia_zmian.wartosc_kwh]])</f>
        <v>1233</v>
      </c>
      <c r="N34" s="1">
        <f>IFERROR(esg_final[[#This Row],[aktualne_kwh]] - esg_final[[#This Row],[zuzycie_kwh]], "Brak w starym raporcie")</f>
        <v>0</v>
      </c>
      <c r="O34" s="1" t="str">
        <f>esg_final[[#This Row],[odczyty_czyste.id_wiersza]] &amp; " " &amp; esg_final[[#This Row],[historia_zmian.id_zmiany]]</f>
        <v xml:space="preserve">A_L011_03_v1 </v>
      </c>
    </row>
    <row r="35" spans="1:15" x14ac:dyDescent="0.25">
      <c r="A35" s="1" t="s">
        <v>117</v>
      </c>
      <c r="B35" s="1" t="s">
        <v>363</v>
      </c>
      <c r="C35" s="1" t="s">
        <v>118</v>
      </c>
      <c r="D35" s="1" t="s">
        <v>115</v>
      </c>
      <c r="E35">
        <v>1136</v>
      </c>
      <c r="F35" s="1" t="s">
        <v>279</v>
      </c>
      <c r="G35" s="1" t="s">
        <v>275</v>
      </c>
      <c r="H35">
        <v>40</v>
      </c>
      <c r="I35" s="1" t="s">
        <v>280</v>
      </c>
      <c r="J35" s="1" t="s">
        <v>297</v>
      </c>
      <c r="K35" s="1" t="s">
        <v>377</v>
      </c>
      <c r="L35" s="1" t="s">
        <v>318</v>
      </c>
      <c r="M35" s="1">
        <f>IF(esg_final[[#This Row],[historia_zmian.typ]]="nadpisanie", esg_final[[#This Row],[historia_zmian.wartosc_kwh]], esg_final[[#This Row],[odczyty_czyste.kwh]] + esg_final[[#This Row],[historia_zmian.wartosc_kwh]])</f>
        <v>1176</v>
      </c>
      <c r="N35" s="1">
        <f>IFERROR(esg_final[[#This Row],[aktualne_kwh]] - esg_final[[#This Row],[zuzycie_kwh]], "Brak w starym raporcie")</f>
        <v>40</v>
      </c>
      <c r="O35" s="1" t="str">
        <f>esg_final[[#This Row],[odczyty_czyste.id_wiersza]] &amp; " " &amp; esg_final[[#This Row],[historia_zmian.id_zmiany]]</f>
        <v>A_L012_01_v1 K04</v>
      </c>
    </row>
    <row r="36" spans="1:15" x14ac:dyDescent="0.25">
      <c r="A36" s="1" t="s">
        <v>117</v>
      </c>
      <c r="B36" s="1" t="s">
        <v>368</v>
      </c>
      <c r="C36" s="1" t="s">
        <v>121</v>
      </c>
      <c r="D36" s="1" t="s">
        <v>119</v>
      </c>
      <c r="E36">
        <v>1196</v>
      </c>
      <c r="F36" s="1"/>
      <c r="G36" s="1"/>
      <c r="I36" s="1"/>
      <c r="J36" s="1" t="s">
        <v>297</v>
      </c>
      <c r="K36" s="1" t="s">
        <v>377</v>
      </c>
      <c r="L36" s="1" t="s">
        <v>318</v>
      </c>
      <c r="M36" s="1">
        <f>IF(esg_final[[#This Row],[historia_zmian.typ]]="nadpisanie", esg_final[[#This Row],[historia_zmian.wartosc_kwh]], esg_final[[#This Row],[odczyty_czyste.kwh]] + esg_final[[#This Row],[historia_zmian.wartosc_kwh]])</f>
        <v>1196</v>
      </c>
      <c r="N36" s="1">
        <f>IFERROR(esg_final[[#This Row],[aktualne_kwh]] - esg_final[[#This Row],[zuzycie_kwh]], "Brak w starym raporcie")</f>
        <v>0</v>
      </c>
      <c r="O36" s="1" t="str">
        <f>esg_final[[#This Row],[odczyty_czyste.id_wiersza]] &amp; " " &amp; esg_final[[#This Row],[historia_zmian.id_zmiany]]</f>
        <v xml:space="preserve">A_L012_02_v1 </v>
      </c>
    </row>
    <row r="37" spans="1:15" x14ac:dyDescent="0.25">
      <c r="A37" s="1" t="s">
        <v>117</v>
      </c>
      <c r="B37" s="1" t="s">
        <v>369</v>
      </c>
      <c r="C37" s="1" t="s">
        <v>124</v>
      </c>
      <c r="D37" s="1" t="s">
        <v>122</v>
      </c>
      <c r="E37">
        <v>1256</v>
      </c>
      <c r="F37" s="1"/>
      <c r="G37" s="1"/>
      <c r="I37" s="1"/>
      <c r="J37" s="1" t="s">
        <v>297</v>
      </c>
      <c r="K37" s="1" t="s">
        <v>377</v>
      </c>
      <c r="L37" s="1" t="s">
        <v>318</v>
      </c>
      <c r="M37" s="1">
        <f>IF(esg_final[[#This Row],[historia_zmian.typ]]="nadpisanie", esg_final[[#This Row],[historia_zmian.wartosc_kwh]], esg_final[[#This Row],[odczyty_czyste.kwh]] + esg_final[[#This Row],[historia_zmian.wartosc_kwh]])</f>
        <v>1256</v>
      </c>
      <c r="N37" s="1">
        <f>IFERROR(esg_final[[#This Row],[aktualne_kwh]] - esg_final[[#This Row],[zuzycie_kwh]], "Brak w starym raporcie")</f>
        <v>0</v>
      </c>
      <c r="O37" s="1" t="str">
        <f>esg_final[[#This Row],[odczyty_czyste.id_wiersza]] &amp; " " &amp; esg_final[[#This Row],[historia_zmian.id_zmiany]]</f>
        <v xml:space="preserve">A_L012_03_v1 </v>
      </c>
    </row>
    <row r="38" spans="1:15" x14ac:dyDescent="0.25">
      <c r="A38" s="1" t="s">
        <v>127</v>
      </c>
      <c r="B38" s="1" t="s">
        <v>363</v>
      </c>
      <c r="C38" s="1" t="s">
        <v>128</v>
      </c>
      <c r="D38" s="1" t="s">
        <v>125</v>
      </c>
      <c r="E38">
        <v>1159</v>
      </c>
      <c r="F38" s="1"/>
      <c r="G38" s="1"/>
      <c r="I38" s="1"/>
      <c r="J38" s="1" t="s">
        <v>298</v>
      </c>
      <c r="K38" s="1" t="s">
        <v>377</v>
      </c>
      <c r="L38" s="1" t="s">
        <v>318</v>
      </c>
      <c r="M38" s="1">
        <f>IF(esg_final[[#This Row],[historia_zmian.typ]]="nadpisanie", esg_final[[#This Row],[historia_zmian.wartosc_kwh]], esg_final[[#This Row],[odczyty_czyste.kwh]] + esg_final[[#This Row],[historia_zmian.wartosc_kwh]])</f>
        <v>1159</v>
      </c>
      <c r="N38" s="1">
        <f>IFERROR(esg_final[[#This Row],[aktualne_kwh]] - esg_final[[#This Row],[zuzycie_kwh]], "Brak w starym raporcie")</f>
        <v>0</v>
      </c>
      <c r="O38" s="1" t="str">
        <f>esg_final[[#This Row],[odczyty_czyste.id_wiersza]] &amp; " " &amp; esg_final[[#This Row],[historia_zmian.id_zmiany]]</f>
        <v xml:space="preserve">A_L013_01_v1 </v>
      </c>
    </row>
    <row r="39" spans="1:15" x14ac:dyDescent="0.25">
      <c r="A39" s="1" t="s">
        <v>127</v>
      </c>
      <c r="B39" s="1" t="s">
        <v>368</v>
      </c>
      <c r="C39" s="1" t="s">
        <v>131</v>
      </c>
      <c r="D39" s="1" t="s">
        <v>129</v>
      </c>
      <c r="E39">
        <v>1219</v>
      </c>
      <c r="F39" s="1"/>
      <c r="G39" s="1"/>
      <c r="I39" s="1"/>
      <c r="J39" s="1" t="s">
        <v>298</v>
      </c>
      <c r="K39" s="1" t="s">
        <v>377</v>
      </c>
      <c r="L39" s="1" t="s">
        <v>318</v>
      </c>
      <c r="M39" s="1">
        <f>IF(esg_final[[#This Row],[historia_zmian.typ]]="nadpisanie", esg_final[[#This Row],[historia_zmian.wartosc_kwh]], esg_final[[#This Row],[odczyty_czyste.kwh]] + esg_final[[#This Row],[historia_zmian.wartosc_kwh]])</f>
        <v>1219</v>
      </c>
      <c r="N39" s="1">
        <f>IFERROR(esg_final[[#This Row],[aktualne_kwh]] - esg_final[[#This Row],[zuzycie_kwh]], "Brak w starym raporcie")</f>
        <v>0</v>
      </c>
      <c r="O39" s="1" t="str">
        <f>esg_final[[#This Row],[odczyty_czyste.id_wiersza]] &amp; " " &amp; esg_final[[#This Row],[historia_zmian.id_zmiany]]</f>
        <v xml:space="preserve">A_L013_02_v1 </v>
      </c>
    </row>
    <row r="40" spans="1:15" x14ac:dyDescent="0.25">
      <c r="A40" s="1" t="s">
        <v>127</v>
      </c>
      <c r="B40" s="1" t="s">
        <v>369</v>
      </c>
      <c r="C40" s="1" t="s">
        <v>134</v>
      </c>
      <c r="D40" s="1" t="s">
        <v>132</v>
      </c>
      <c r="E40">
        <v>1279</v>
      </c>
      <c r="F40" s="1"/>
      <c r="G40" s="1"/>
      <c r="I40" s="1"/>
      <c r="J40" s="1" t="s">
        <v>298</v>
      </c>
      <c r="K40" s="1" t="s">
        <v>377</v>
      </c>
      <c r="L40" s="1" t="s">
        <v>318</v>
      </c>
      <c r="M40" s="1">
        <f>IF(esg_final[[#This Row],[historia_zmian.typ]]="nadpisanie", esg_final[[#This Row],[historia_zmian.wartosc_kwh]], esg_final[[#This Row],[odczyty_czyste.kwh]] + esg_final[[#This Row],[historia_zmian.wartosc_kwh]])</f>
        <v>1279</v>
      </c>
      <c r="N40" s="1">
        <f>IFERROR(esg_final[[#This Row],[aktualne_kwh]] - esg_final[[#This Row],[zuzycie_kwh]], "Brak w starym raporcie")</f>
        <v>0</v>
      </c>
      <c r="O40" s="1" t="str">
        <f>esg_final[[#This Row],[odczyty_czyste.id_wiersza]] &amp; " " &amp; esg_final[[#This Row],[historia_zmian.id_zmiany]]</f>
        <v xml:space="preserve">A_L013_03_v1 </v>
      </c>
    </row>
    <row r="41" spans="1:15" x14ac:dyDescent="0.25">
      <c r="A41" s="1" t="s">
        <v>137</v>
      </c>
      <c r="B41" s="1" t="s">
        <v>363</v>
      </c>
      <c r="C41" s="1" t="s">
        <v>138</v>
      </c>
      <c r="D41" s="1" t="s">
        <v>135</v>
      </c>
      <c r="E41">
        <v>1182</v>
      </c>
      <c r="F41" s="1"/>
      <c r="G41" s="1"/>
      <c r="I41" s="1"/>
      <c r="J41" s="1" t="s">
        <v>299</v>
      </c>
      <c r="K41" s="1" t="s">
        <v>377</v>
      </c>
      <c r="L41" s="1" t="s">
        <v>318</v>
      </c>
      <c r="M41" s="1">
        <f>IF(esg_final[[#This Row],[historia_zmian.typ]]="nadpisanie", esg_final[[#This Row],[historia_zmian.wartosc_kwh]], esg_final[[#This Row],[odczyty_czyste.kwh]] + esg_final[[#This Row],[historia_zmian.wartosc_kwh]])</f>
        <v>1182</v>
      </c>
      <c r="N41" s="1">
        <f>IFERROR(esg_final[[#This Row],[aktualne_kwh]] - esg_final[[#This Row],[zuzycie_kwh]], "Brak w starym raporcie")</f>
        <v>0</v>
      </c>
      <c r="O41" s="1" t="str">
        <f>esg_final[[#This Row],[odczyty_czyste.id_wiersza]] &amp; " " &amp; esg_final[[#This Row],[historia_zmian.id_zmiany]]</f>
        <v xml:space="preserve">A_L014_01_v1 </v>
      </c>
    </row>
    <row r="42" spans="1:15" x14ac:dyDescent="0.25">
      <c r="A42" s="1" t="s">
        <v>137</v>
      </c>
      <c r="B42" s="1" t="s">
        <v>368</v>
      </c>
      <c r="C42" s="1" t="s">
        <v>141</v>
      </c>
      <c r="D42" s="1" t="s">
        <v>139</v>
      </c>
      <c r="E42">
        <v>1242</v>
      </c>
      <c r="F42" s="1"/>
      <c r="G42" s="1"/>
      <c r="I42" s="1"/>
      <c r="J42" s="1" t="s">
        <v>299</v>
      </c>
      <c r="K42" s="1" t="s">
        <v>377</v>
      </c>
      <c r="L42" s="1" t="s">
        <v>318</v>
      </c>
      <c r="M42" s="1">
        <f>IF(esg_final[[#This Row],[historia_zmian.typ]]="nadpisanie", esg_final[[#This Row],[historia_zmian.wartosc_kwh]], esg_final[[#This Row],[odczyty_czyste.kwh]] + esg_final[[#This Row],[historia_zmian.wartosc_kwh]])</f>
        <v>1242</v>
      </c>
      <c r="N42" s="1">
        <f>IFERROR(esg_final[[#This Row],[aktualne_kwh]] - esg_final[[#This Row],[zuzycie_kwh]], "Brak w starym raporcie")</f>
        <v>0</v>
      </c>
      <c r="O42" s="1" t="str">
        <f>esg_final[[#This Row],[odczyty_czyste.id_wiersza]] &amp; " " &amp; esg_final[[#This Row],[historia_zmian.id_zmiany]]</f>
        <v xml:space="preserve">A_L014_02_v1 </v>
      </c>
    </row>
    <row r="43" spans="1:15" x14ac:dyDescent="0.25">
      <c r="A43" s="1" t="s">
        <v>137</v>
      </c>
      <c r="B43" s="1" t="s">
        <v>369</v>
      </c>
      <c r="C43" s="1" t="s">
        <v>144</v>
      </c>
      <c r="D43" s="1" t="s">
        <v>142</v>
      </c>
      <c r="E43">
        <v>1302</v>
      </c>
      <c r="F43" s="1"/>
      <c r="G43" s="1"/>
      <c r="I43" s="1"/>
      <c r="J43" s="1" t="s">
        <v>299</v>
      </c>
      <c r="K43" s="1" t="s">
        <v>377</v>
      </c>
      <c r="L43" s="1" t="s">
        <v>318</v>
      </c>
      <c r="M43" s="1">
        <f>IF(esg_final[[#This Row],[historia_zmian.typ]]="nadpisanie", esg_final[[#This Row],[historia_zmian.wartosc_kwh]], esg_final[[#This Row],[odczyty_czyste.kwh]] + esg_final[[#This Row],[historia_zmian.wartosc_kwh]])</f>
        <v>1302</v>
      </c>
      <c r="N43" s="1">
        <f>IFERROR(esg_final[[#This Row],[aktualne_kwh]] - esg_final[[#This Row],[zuzycie_kwh]], "Brak w starym raporcie")</f>
        <v>0</v>
      </c>
      <c r="O43" s="1" t="str">
        <f>esg_final[[#This Row],[odczyty_czyste.id_wiersza]] &amp; " " &amp; esg_final[[#This Row],[historia_zmian.id_zmiany]]</f>
        <v xml:space="preserve">A_L014_03_v1 </v>
      </c>
    </row>
    <row r="44" spans="1:15" x14ac:dyDescent="0.25">
      <c r="A44" s="1" t="s">
        <v>147</v>
      </c>
      <c r="B44" s="1" t="s">
        <v>363</v>
      </c>
      <c r="C44" s="1" t="s">
        <v>148</v>
      </c>
      <c r="D44" s="1" t="s">
        <v>145</v>
      </c>
      <c r="E44">
        <v>1205</v>
      </c>
      <c r="F44" s="1"/>
      <c r="G44" s="1"/>
      <c r="I44" s="1"/>
      <c r="J44" s="1" t="s">
        <v>300</v>
      </c>
      <c r="K44" s="1" t="s">
        <v>377</v>
      </c>
      <c r="L44" s="1" t="s">
        <v>318</v>
      </c>
      <c r="M44" s="1">
        <f>IF(esg_final[[#This Row],[historia_zmian.typ]]="nadpisanie", esg_final[[#This Row],[historia_zmian.wartosc_kwh]], esg_final[[#This Row],[odczyty_czyste.kwh]] + esg_final[[#This Row],[historia_zmian.wartosc_kwh]])</f>
        <v>1205</v>
      </c>
      <c r="N44" s="1">
        <f>IFERROR(esg_final[[#This Row],[aktualne_kwh]] - esg_final[[#This Row],[zuzycie_kwh]], "Brak w starym raporcie")</f>
        <v>0</v>
      </c>
      <c r="O44" s="1" t="str">
        <f>esg_final[[#This Row],[odczyty_czyste.id_wiersza]] &amp; " " &amp; esg_final[[#This Row],[historia_zmian.id_zmiany]]</f>
        <v xml:space="preserve">A_L015_01_v1 </v>
      </c>
    </row>
    <row r="45" spans="1:15" x14ac:dyDescent="0.25">
      <c r="A45" s="1" t="s">
        <v>147</v>
      </c>
      <c r="B45" s="1" t="s">
        <v>369</v>
      </c>
      <c r="C45" s="1" t="s">
        <v>151</v>
      </c>
      <c r="D45" s="1" t="s">
        <v>149</v>
      </c>
      <c r="E45">
        <v>1325</v>
      </c>
      <c r="F45" s="1"/>
      <c r="G45" s="1"/>
      <c r="I45" s="1"/>
      <c r="J45" s="1" t="s">
        <v>300</v>
      </c>
      <c r="K45" s="1" t="s">
        <v>377</v>
      </c>
      <c r="L45" s="1" t="s">
        <v>318</v>
      </c>
      <c r="M45" s="1">
        <f>IF(esg_final[[#This Row],[historia_zmian.typ]]="nadpisanie", esg_final[[#This Row],[historia_zmian.wartosc_kwh]], esg_final[[#This Row],[odczyty_czyste.kwh]] + esg_final[[#This Row],[historia_zmian.wartosc_kwh]])</f>
        <v>1325</v>
      </c>
      <c r="N45" s="1">
        <f>IFERROR(esg_final[[#This Row],[aktualne_kwh]] - esg_final[[#This Row],[zuzycie_kwh]], "Brak w starym raporcie")</f>
        <v>0</v>
      </c>
      <c r="O45" s="1" t="str">
        <f>esg_final[[#This Row],[odczyty_czyste.id_wiersza]] &amp; " " &amp; esg_final[[#This Row],[historia_zmian.id_zmiany]]</f>
        <v xml:space="preserve">A_L015_03_v1 </v>
      </c>
    </row>
    <row r="46" spans="1:15" x14ac:dyDescent="0.25">
      <c r="A46" s="1" t="s">
        <v>147</v>
      </c>
      <c r="B46" s="1" t="s">
        <v>368</v>
      </c>
      <c r="C46" s="1" t="s">
        <v>318</v>
      </c>
      <c r="D46" s="1"/>
      <c r="F46" s="1" t="s">
        <v>277</v>
      </c>
      <c r="G46" s="1" t="s">
        <v>275</v>
      </c>
      <c r="H46">
        <v>20</v>
      </c>
      <c r="I46" s="1" t="s">
        <v>278</v>
      </c>
      <c r="J46" s="1" t="s">
        <v>300</v>
      </c>
      <c r="K46" s="1" t="s">
        <v>377</v>
      </c>
      <c r="L46" s="1" t="s">
        <v>318</v>
      </c>
      <c r="M46" s="1"/>
      <c r="N46" s="1" t="str">
        <f>IFERROR(esg_final[[#This Row],[aktualne_kwh]] - esg_final[[#This Row],[zuzycie_kwh]], "Brak w starym raporcie")</f>
        <v>Brak w starym raporcie</v>
      </c>
      <c r="O46" s="1" t="str">
        <f>esg_final[[#This Row],[odczyty_czyste.id_wiersza]] &amp; " " &amp; esg_final[[#This Row],[historia_zmian.id_zmiany]]</f>
        <v xml:space="preserve"> K03</v>
      </c>
    </row>
    <row r="47" spans="1:15" x14ac:dyDescent="0.25">
      <c r="A47" s="1" t="s">
        <v>163</v>
      </c>
      <c r="B47" s="1" t="s">
        <v>369</v>
      </c>
      <c r="C47" s="1" t="s">
        <v>322</v>
      </c>
      <c r="D47" s="1" t="s">
        <v>161</v>
      </c>
      <c r="E47">
        <v>1288</v>
      </c>
      <c r="F47" s="1"/>
      <c r="G47" s="1"/>
      <c r="I47" s="1"/>
      <c r="J47" s="1" t="s">
        <v>301</v>
      </c>
      <c r="K47" s="1" t="s">
        <v>377</v>
      </c>
      <c r="L47" s="1" t="s">
        <v>318</v>
      </c>
      <c r="M47" s="1">
        <f>IF(esg_final[[#This Row],[historia_zmian.typ]]="nadpisanie", esg_final[[#This Row],[historia_zmian.wartosc_kwh]], esg_final[[#This Row],[odczyty_czyste.kwh]] + esg_final[[#This Row],[historia_zmian.wartosc_kwh]])</f>
        <v>1288</v>
      </c>
      <c r="N47" s="1">
        <f>IFERROR(esg_final[[#This Row],[aktualne_kwh]] - esg_final[[#This Row],[zuzycie_kwh]], "Brak w starym raporcie")</f>
        <v>-60</v>
      </c>
      <c r="O47" s="1" t="str">
        <f>esg_final[[#This Row],[odczyty_czyste.id_wiersza]] &amp; " " &amp; esg_final[[#This Row],[historia_zmian.id_zmiany]]</f>
        <v xml:space="preserve">B_L016_03_v2 </v>
      </c>
    </row>
    <row r="48" spans="1:15" x14ac:dyDescent="0.25">
      <c r="A48" s="1" t="s">
        <v>163</v>
      </c>
      <c r="B48" s="1" t="s">
        <v>363</v>
      </c>
      <c r="C48" s="1" t="s">
        <v>320</v>
      </c>
      <c r="D48" s="1" t="s">
        <v>164</v>
      </c>
      <c r="E48">
        <v>1228</v>
      </c>
      <c r="F48" s="1"/>
      <c r="G48" s="1"/>
      <c r="I48" s="1"/>
      <c r="J48" s="1" t="s">
        <v>301</v>
      </c>
      <c r="K48" s="1" t="s">
        <v>377</v>
      </c>
      <c r="L48" s="1" t="s">
        <v>318</v>
      </c>
      <c r="M48" s="1">
        <f>IF(esg_final[[#This Row],[historia_zmian.typ]]="nadpisanie", esg_final[[#This Row],[historia_zmian.wartosc_kwh]], esg_final[[#This Row],[odczyty_czyste.kwh]] + esg_final[[#This Row],[historia_zmian.wartosc_kwh]])</f>
        <v>1228</v>
      </c>
      <c r="N48" s="1">
        <f>IFERROR(esg_final[[#This Row],[aktualne_kwh]] - esg_final[[#This Row],[zuzycie_kwh]], "Brak w starym raporcie")</f>
        <v>0</v>
      </c>
      <c r="O48" s="1" t="str">
        <f>esg_final[[#This Row],[odczyty_czyste.id_wiersza]] &amp; " " &amp; esg_final[[#This Row],[historia_zmian.id_zmiany]]</f>
        <v xml:space="preserve">B_L016_01_v1 </v>
      </c>
    </row>
    <row r="49" spans="1:15" x14ac:dyDescent="0.25">
      <c r="A49" s="1" t="s">
        <v>163</v>
      </c>
      <c r="B49" s="1" t="s">
        <v>368</v>
      </c>
      <c r="C49" s="1" t="s">
        <v>321</v>
      </c>
      <c r="D49" s="1" t="s">
        <v>166</v>
      </c>
      <c r="E49">
        <v>1288</v>
      </c>
      <c r="F49" s="1"/>
      <c r="G49" s="1"/>
      <c r="I49" s="1"/>
      <c r="J49" s="1" t="s">
        <v>301</v>
      </c>
      <c r="K49" s="1" t="s">
        <v>377</v>
      </c>
      <c r="L49" s="1" t="s">
        <v>318</v>
      </c>
      <c r="M49" s="1">
        <f>IF(esg_final[[#This Row],[historia_zmian.typ]]="nadpisanie", esg_final[[#This Row],[historia_zmian.wartosc_kwh]], esg_final[[#This Row],[odczyty_czyste.kwh]] + esg_final[[#This Row],[historia_zmian.wartosc_kwh]])</f>
        <v>1288</v>
      </c>
      <c r="N49" s="1">
        <f>IFERROR(esg_final[[#This Row],[aktualne_kwh]] - esg_final[[#This Row],[zuzycie_kwh]], "Brak w starym raporcie")</f>
        <v>0</v>
      </c>
      <c r="O49" s="1" t="str">
        <f>esg_final[[#This Row],[odczyty_czyste.id_wiersza]] &amp; " " &amp; esg_final[[#This Row],[historia_zmian.id_zmiany]]</f>
        <v xml:space="preserve">B_L016_02_v1 </v>
      </c>
    </row>
    <row r="50" spans="1:15" x14ac:dyDescent="0.25">
      <c r="A50" s="1" t="s">
        <v>171</v>
      </c>
      <c r="B50" s="1" t="s">
        <v>363</v>
      </c>
      <c r="C50" s="1" t="s">
        <v>323</v>
      </c>
      <c r="D50" s="1" t="s">
        <v>169</v>
      </c>
      <c r="E50">
        <v>1251</v>
      </c>
      <c r="F50" s="1"/>
      <c r="G50" s="1"/>
      <c r="I50" s="1"/>
      <c r="J50" s="1" t="s">
        <v>302</v>
      </c>
      <c r="K50" s="1" t="s">
        <v>377</v>
      </c>
      <c r="L50" s="1" t="s">
        <v>318</v>
      </c>
      <c r="M50" s="1">
        <f>IF(esg_final[[#This Row],[historia_zmian.typ]]="nadpisanie", esg_final[[#This Row],[historia_zmian.wartosc_kwh]], esg_final[[#This Row],[odczyty_czyste.kwh]] + esg_final[[#This Row],[historia_zmian.wartosc_kwh]])</f>
        <v>1251</v>
      </c>
      <c r="N50" s="1">
        <f>IFERROR(esg_final[[#This Row],[aktualne_kwh]] - esg_final[[#This Row],[zuzycie_kwh]], "Brak w starym raporcie")</f>
        <v>0</v>
      </c>
      <c r="O50" s="1" t="str">
        <f>esg_final[[#This Row],[odczyty_czyste.id_wiersza]] &amp; " " &amp; esg_final[[#This Row],[historia_zmian.id_zmiany]]</f>
        <v xml:space="preserve">B_L017_01_v1 </v>
      </c>
    </row>
    <row r="51" spans="1:15" x14ac:dyDescent="0.25">
      <c r="A51" s="1" t="s">
        <v>171</v>
      </c>
      <c r="B51" s="1" t="s">
        <v>368</v>
      </c>
      <c r="C51" s="1" t="s">
        <v>324</v>
      </c>
      <c r="D51" s="1" t="s">
        <v>172</v>
      </c>
      <c r="E51">
        <v>1311</v>
      </c>
      <c r="F51" s="1"/>
      <c r="G51" s="1"/>
      <c r="I51" s="1"/>
      <c r="J51" s="1" t="s">
        <v>302</v>
      </c>
      <c r="K51" s="1" t="s">
        <v>377</v>
      </c>
      <c r="L51" s="1" t="s">
        <v>318</v>
      </c>
      <c r="M51" s="1">
        <f>IF(esg_final[[#This Row],[historia_zmian.typ]]="nadpisanie", esg_final[[#This Row],[historia_zmian.wartosc_kwh]], esg_final[[#This Row],[odczyty_czyste.kwh]] + esg_final[[#This Row],[historia_zmian.wartosc_kwh]])</f>
        <v>1311</v>
      </c>
      <c r="N51" s="1">
        <f>IFERROR(esg_final[[#This Row],[aktualne_kwh]] - esg_final[[#This Row],[zuzycie_kwh]], "Brak w starym raporcie")</f>
        <v>0</v>
      </c>
      <c r="O51" s="1" t="str">
        <f>esg_final[[#This Row],[odczyty_czyste.id_wiersza]] &amp; " " &amp; esg_final[[#This Row],[historia_zmian.id_zmiany]]</f>
        <v xml:space="preserve">B_L017_02_v1 </v>
      </c>
    </row>
    <row r="52" spans="1:15" x14ac:dyDescent="0.25">
      <c r="A52" s="1" t="s">
        <v>171</v>
      </c>
      <c r="B52" s="1" t="s">
        <v>369</v>
      </c>
      <c r="C52" s="1" t="s">
        <v>325</v>
      </c>
      <c r="D52" s="1" t="s">
        <v>174</v>
      </c>
      <c r="E52">
        <v>1371</v>
      </c>
      <c r="F52" s="1"/>
      <c r="G52" s="1"/>
      <c r="I52" s="1"/>
      <c r="J52" s="1" t="s">
        <v>302</v>
      </c>
      <c r="K52" s="1" t="s">
        <v>377</v>
      </c>
      <c r="L52" s="1" t="s">
        <v>318</v>
      </c>
      <c r="M52" s="1">
        <f>IF(esg_final[[#This Row],[historia_zmian.typ]]="nadpisanie", esg_final[[#This Row],[historia_zmian.wartosc_kwh]], esg_final[[#This Row],[odczyty_czyste.kwh]] + esg_final[[#This Row],[historia_zmian.wartosc_kwh]])</f>
        <v>1371</v>
      </c>
      <c r="N52" s="1">
        <f>IFERROR(esg_final[[#This Row],[aktualne_kwh]] - esg_final[[#This Row],[zuzycie_kwh]], "Brak w starym raporcie")</f>
        <v>0</v>
      </c>
      <c r="O52" s="1" t="str">
        <f>esg_final[[#This Row],[odczyty_czyste.id_wiersza]] &amp; " " &amp; esg_final[[#This Row],[historia_zmian.id_zmiany]]</f>
        <v xml:space="preserve">B_L017_03_v1 </v>
      </c>
    </row>
    <row r="53" spans="1:15" x14ac:dyDescent="0.25">
      <c r="A53" s="1" t="s">
        <v>178</v>
      </c>
      <c r="B53" s="1" t="s">
        <v>363</v>
      </c>
      <c r="C53" s="1" t="s">
        <v>326</v>
      </c>
      <c r="D53" s="1" t="s">
        <v>176</v>
      </c>
      <c r="E53">
        <v>1274</v>
      </c>
      <c r="F53" s="1"/>
      <c r="G53" s="1"/>
      <c r="I53" s="1"/>
      <c r="J53" s="1" t="s">
        <v>303</v>
      </c>
      <c r="K53" s="1" t="s">
        <v>377</v>
      </c>
      <c r="L53" s="1" t="s">
        <v>318</v>
      </c>
      <c r="M53" s="1">
        <f>IF(esg_final[[#This Row],[historia_zmian.typ]]="nadpisanie", esg_final[[#This Row],[historia_zmian.wartosc_kwh]], esg_final[[#This Row],[odczyty_czyste.kwh]] + esg_final[[#This Row],[historia_zmian.wartosc_kwh]])</f>
        <v>1274</v>
      </c>
      <c r="N53" s="1">
        <f>IFERROR(esg_final[[#This Row],[aktualne_kwh]] - esg_final[[#This Row],[zuzycie_kwh]], "Brak w starym raporcie")</f>
        <v>0</v>
      </c>
      <c r="O53" s="1" t="str">
        <f>esg_final[[#This Row],[odczyty_czyste.id_wiersza]] &amp; " " &amp; esg_final[[#This Row],[historia_zmian.id_zmiany]]</f>
        <v xml:space="preserve">B_L018_01_v1 </v>
      </c>
    </row>
    <row r="54" spans="1:15" x14ac:dyDescent="0.25">
      <c r="A54" s="1" t="s">
        <v>178</v>
      </c>
      <c r="B54" s="1" t="s">
        <v>368</v>
      </c>
      <c r="C54" s="1" t="s">
        <v>327</v>
      </c>
      <c r="D54" s="1" t="s">
        <v>179</v>
      </c>
      <c r="E54">
        <v>1334</v>
      </c>
      <c r="F54" s="1"/>
      <c r="G54" s="1"/>
      <c r="I54" s="1"/>
      <c r="J54" s="1" t="s">
        <v>303</v>
      </c>
      <c r="K54" s="1" t="s">
        <v>377</v>
      </c>
      <c r="L54" s="1" t="s">
        <v>318</v>
      </c>
      <c r="M54" s="1">
        <f>IF(esg_final[[#This Row],[historia_zmian.typ]]="nadpisanie", esg_final[[#This Row],[historia_zmian.wartosc_kwh]], esg_final[[#This Row],[odczyty_czyste.kwh]] + esg_final[[#This Row],[historia_zmian.wartosc_kwh]])</f>
        <v>1334</v>
      </c>
      <c r="N54" s="1">
        <f>IFERROR(esg_final[[#This Row],[aktualne_kwh]] - esg_final[[#This Row],[zuzycie_kwh]], "Brak w starym raporcie")</f>
        <v>0</v>
      </c>
      <c r="O54" s="1" t="str">
        <f>esg_final[[#This Row],[odczyty_czyste.id_wiersza]] &amp; " " &amp; esg_final[[#This Row],[historia_zmian.id_zmiany]]</f>
        <v xml:space="preserve">B_L018_02_v1 </v>
      </c>
    </row>
    <row r="55" spans="1:15" x14ac:dyDescent="0.25">
      <c r="A55" s="1" t="s">
        <v>178</v>
      </c>
      <c r="B55" s="1" t="s">
        <v>369</v>
      </c>
      <c r="C55" s="1" t="s">
        <v>318</v>
      </c>
      <c r="D55" s="1"/>
      <c r="F55" s="1"/>
      <c r="G55" s="1"/>
      <c r="I55" s="1"/>
      <c r="J55" s="1" t="s">
        <v>303</v>
      </c>
      <c r="K55" s="1" t="s">
        <v>377</v>
      </c>
      <c r="L55" s="1" t="s">
        <v>318</v>
      </c>
      <c r="M55" s="1"/>
      <c r="N55" s="1" t="str">
        <f>IFERROR(esg_final[[#This Row],[aktualne_kwh]] - esg_final[[#This Row],[zuzycie_kwh]], "Brak w starym raporcie")</f>
        <v>Brak w starym raporcie</v>
      </c>
      <c r="O55" s="1" t="str">
        <f>esg_final[[#This Row],[odczyty_czyste.id_wiersza]] &amp; " " &amp; esg_final[[#This Row],[historia_zmian.id_zmiany]]</f>
        <v xml:space="preserve"> </v>
      </c>
    </row>
    <row r="56" spans="1:15" x14ac:dyDescent="0.25">
      <c r="A56" s="1" t="s">
        <v>183</v>
      </c>
      <c r="B56" s="1" t="s">
        <v>363</v>
      </c>
      <c r="C56" s="1" t="s">
        <v>328</v>
      </c>
      <c r="D56" s="1" t="s">
        <v>181</v>
      </c>
      <c r="E56">
        <v>1297</v>
      </c>
      <c r="F56" s="1"/>
      <c r="G56" s="1"/>
      <c r="I56" s="1"/>
      <c r="J56" s="1" t="s">
        <v>304</v>
      </c>
      <c r="K56" s="1" t="s">
        <v>377</v>
      </c>
      <c r="L56" s="1" t="s">
        <v>318</v>
      </c>
      <c r="M56" s="1">
        <f>IF(esg_final[[#This Row],[historia_zmian.typ]]="nadpisanie", esg_final[[#This Row],[historia_zmian.wartosc_kwh]], esg_final[[#This Row],[odczyty_czyste.kwh]] + esg_final[[#This Row],[historia_zmian.wartosc_kwh]])</f>
        <v>1297</v>
      </c>
      <c r="N56" s="1">
        <f>IFERROR(esg_final[[#This Row],[aktualne_kwh]] - esg_final[[#This Row],[zuzycie_kwh]], "Brak w starym raporcie")</f>
        <v>0</v>
      </c>
      <c r="O56" s="1" t="str">
        <f>esg_final[[#This Row],[odczyty_czyste.id_wiersza]] &amp; " " &amp; esg_final[[#This Row],[historia_zmian.id_zmiany]]</f>
        <v xml:space="preserve">B_L019_01_v1 </v>
      </c>
    </row>
    <row r="57" spans="1:15" x14ac:dyDescent="0.25">
      <c r="A57" s="1" t="s">
        <v>183</v>
      </c>
      <c r="B57" s="1" t="s">
        <v>368</v>
      </c>
      <c r="C57" s="1" t="s">
        <v>329</v>
      </c>
      <c r="D57" s="1" t="s">
        <v>184</v>
      </c>
      <c r="E57">
        <v>1357</v>
      </c>
      <c r="F57" s="1"/>
      <c r="G57" s="1"/>
      <c r="I57" s="1"/>
      <c r="J57" s="1" t="s">
        <v>304</v>
      </c>
      <c r="K57" s="1" t="s">
        <v>377</v>
      </c>
      <c r="L57" s="1" t="s">
        <v>318</v>
      </c>
      <c r="M57" s="1">
        <f>IF(esg_final[[#This Row],[historia_zmian.typ]]="nadpisanie", esg_final[[#This Row],[historia_zmian.wartosc_kwh]], esg_final[[#This Row],[odczyty_czyste.kwh]] + esg_final[[#This Row],[historia_zmian.wartosc_kwh]])</f>
        <v>1357</v>
      </c>
      <c r="N57" s="1">
        <f>IFERROR(esg_final[[#This Row],[aktualne_kwh]] - esg_final[[#This Row],[zuzycie_kwh]], "Brak w starym raporcie")</f>
        <v>0</v>
      </c>
      <c r="O57" s="1" t="str">
        <f>esg_final[[#This Row],[odczyty_czyste.id_wiersza]] &amp; " " &amp; esg_final[[#This Row],[historia_zmian.id_zmiany]]</f>
        <v xml:space="preserve">B_L019_02_v1 </v>
      </c>
    </row>
    <row r="58" spans="1:15" x14ac:dyDescent="0.25">
      <c r="A58" s="1" t="s">
        <v>183</v>
      </c>
      <c r="B58" s="1" t="s">
        <v>369</v>
      </c>
      <c r="C58" s="1" t="s">
        <v>330</v>
      </c>
      <c r="D58" s="1" t="s">
        <v>186</v>
      </c>
      <c r="E58">
        <v>1417</v>
      </c>
      <c r="F58" s="1"/>
      <c r="G58" s="1"/>
      <c r="I58" s="1"/>
      <c r="J58" s="1" t="s">
        <v>304</v>
      </c>
      <c r="K58" s="1" t="s">
        <v>377</v>
      </c>
      <c r="L58" s="1" t="s">
        <v>318</v>
      </c>
      <c r="M58" s="1">
        <f>IF(esg_final[[#This Row],[historia_zmian.typ]]="nadpisanie", esg_final[[#This Row],[historia_zmian.wartosc_kwh]], esg_final[[#This Row],[odczyty_czyste.kwh]] + esg_final[[#This Row],[historia_zmian.wartosc_kwh]])</f>
        <v>1417</v>
      </c>
      <c r="N58" s="1">
        <f>IFERROR(esg_final[[#This Row],[aktualne_kwh]] - esg_final[[#This Row],[zuzycie_kwh]], "Brak w starym raporcie")</f>
        <v>0</v>
      </c>
      <c r="O58" s="1" t="str">
        <f>esg_final[[#This Row],[odczyty_czyste.id_wiersza]] &amp; " " &amp; esg_final[[#This Row],[historia_zmian.id_zmiany]]</f>
        <v xml:space="preserve">B_L019_03_v1 </v>
      </c>
    </row>
    <row r="59" spans="1:15" x14ac:dyDescent="0.25">
      <c r="A59" s="1" t="s">
        <v>190</v>
      </c>
      <c r="B59" s="1" t="s">
        <v>363</v>
      </c>
      <c r="C59" s="1" t="s">
        <v>331</v>
      </c>
      <c r="D59" s="1" t="s">
        <v>188</v>
      </c>
      <c r="E59">
        <v>1320</v>
      </c>
      <c r="F59" s="1"/>
      <c r="G59" s="1"/>
      <c r="I59" s="1"/>
      <c r="J59" s="1" t="s">
        <v>305</v>
      </c>
      <c r="K59" s="1" t="s">
        <v>377</v>
      </c>
      <c r="L59" s="1" t="s">
        <v>318</v>
      </c>
      <c r="M59" s="1">
        <f>IF(esg_final[[#This Row],[historia_zmian.typ]]="nadpisanie", esg_final[[#This Row],[historia_zmian.wartosc_kwh]], esg_final[[#This Row],[odczyty_czyste.kwh]] + esg_final[[#This Row],[historia_zmian.wartosc_kwh]])</f>
        <v>1320</v>
      </c>
      <c r="N59" s="1">
        <f>IFERROR(esg_final[[#This Row],[aktualne_kwh]] - esg_final[[#This Row],[zuzycie_kwh]], "Brak w starym raporcie")</f>
        <v>0</v>
      </c>
      <c r="O59" s="1" t="str">
        <f>esg_final[[#This Row],[odczyty_czyste.id_wiersza]] &amp; " " &amp; esg_final[[#This Row],[historia_zmian.id_zmiany]]</f>
        <v xml:space="preserve">B_L020_01_v1 </v>
      </c>
    </row>
    <row r="60" spans="1:15" x14ac:dyDescent="0.25">
      <c r="A60" s="1" t="s">
        <v>190</v>
      </c>
      <c r="B60" s="1" t="s">
        <v>368</v>
      </c>
      <c r="C60" s="1" t="s">
        <v>332</v>
      </c>
      <c r="D60" s="1" t="s">
        <v>191</v>
      </c>
      <c r="E60">
        <v>1380</v>
      </c>
      <c r="F60" s="1"/>
      <c r="G60" s="1"/>
      <c r="I60" s="1"/>
      <c r="J60" s="1" t="s">
        <v>305</v>
      </c>
      <c r="K60" s="1" t="s">
        <v>377</v>
      </c>
      <c r="L60" s="1" t="s">
        <v>318</v>
      </c>
      <c r="M60" s="1">
        <f>IF(esg_final[[#This Row],[historia_zmian.typ]]="nadpisanie", esg_final[[#This Row],[historia_zmian.wartosc_kwh]], esg_final[[#This Row],[odczyty_czyste.kwh]] + esg_final[[#This Row],[historia_zmian.wartosc_kwh]])</f>
        <v>1380</v>
      </c>
      <c r="N60" s="1">
        <f>IFERROR(esg_final[[#This Row],[aktualne_kwh]] - esg_final[[#This Row],[zuzycie_kwh]], "Brak w starym raporcie")</f>
        <v>0</v>
      </c>
      <c r="O60" s="1" t="str">
        <f>esg_final[[#This Row],[odczyty_czyste.id_wiersza]] &amp; " " &amp; esg_final[[#This Row],[historia_zmian.id_zmiany]]</f>
        <v xml:space="preserve">B_L020_02_v1 </v>
      </c>
    </row>
    <row r="61" spans="1:15" x14ac:dyDescent="0.25">
      <c r="A61" s="1" t="s">
        <v>190</v>
      </c>
      <c r="B61" s="1" t="s">
        <v>369</v>
      </c>
      <c r="C61" s="1" t="s">
        <v>333</v>
      </c>
      <c r="D61" s="1" t="s">
        <v>193</v>
      </c>
      <c r="E61">
        <v>1440</v>
      </c>
      <c r="F61" s="1"/>
      <c r="G61" s="1"/>
      <c r="I61" s="1"/>
      <c r="J61" s="1" t="s">
        <v>305</v>
      </c>
      <c r="K61" s="1" t="s">
        <v>377</v>
      </c>
      <c r="L61" s="1" t="s">
        <v>318</v>
      </c>
      <c r="M61" s="1">
        <f>IF(esg_final[[#This Row],[historia_zmian.typ]]="nadpisanie", esg_final[[#This Row],[historia_zmian.wartosc_kwh]], esg_final[[#This Row],[odczyty_czyste.kwh]] + esg_final[[#This Row],[historia_zmian.wartosc_kwh]])</f>
        <v>1440</v>
      </c>
      <c r="N61" s="1">
        <f>IFERROR(esg_final[[#This Row],[aktualne_kwh]] - esg_final[[#This Row],[zuzycie_kwh]], "Brak w starym raporcie")</f>
        <v>0</v>
      </c>
      <c r="O61" s="1" t="str">
        <f>esg_final[[#This Row],[odczyty_czyste.id_wiersza]] &amp; " " &amp; esg_final[[#This Row],[historia_zmian.id_zmiany]]</f>
        <v xml:space="preserve">B_L020_03_v1 </v>
      </c>
    </row>
    <row r="62" spans="1:15" x14ac:dyDescent="0.25">
      <c r="A62" s="1" t="s">
        <v>306</v>
      </c>
      <c r="B62" s="1" t="s">
        <v>363</v>
      </c>
      <c r="C62" s="1" t="s">
        <v>334</v>
      </c>
      <c r="D62" s="1" t="s">
        <v>195</v>
      </c>
      <c r="E62">
        <v>1343</v>
      </c>
      <c r="F62" s="1"/>
      <c r="G62" s="1"/>
      <c r="I62" s="1"/>
      <c r="J62" s="1" t="s">
        <v>307</v>
      </c>
      <c r="K62" s="1" t="s">
        <v>377</v>
      </c>
      <c r="L62" s="1" t="s">
        <v>318</v>
      </c>
      <c r="M62" s="1">
        <f>IF(esg_final[[#This Row],[historia_zmian.typ]]="nadpisanie", esg_final[[#This Row],[historia_zmian.wartosc_kwh]], esg_final[[#This Row],[odczyty_czyste.kwh]] + esg_final[[#This Row],[historia_zmian.wartosc_kwh]])</f>
        <v>1343</v>
      </c>
      <c r="N62" s="1">
        <f>IFERROR(esg_final[[#This Row],[aktualne_kwh]] - esg_final[[#This Row],[zuzycie_kwh]], "Brak w starym raporcie")</f>
        <v>0</v>
      </c>
      <c r="O62" s="1" t="str">
        <f>esg_final[[#This Row],[odczyty_czyste.id_wiersza]] &amp; " " &amp; esg_final[[#This Row],[historia_zmian.id_zmiany]]</f>
        <v xml:space="preserve">B_L021_01_v1 </v>
      </c>
    </row>
    <row r="63" spans="1:15" x14ac:dyDescent="0.25">
      <c r="A63" s="1" t="s">
        <v>306</v>
      </c>
      <c r="B63" s="1" t="s">
        <v>368</v>
      </c>
      <c r="C63" s="1" t="s">
        <v>335</v>
      </c>
      <c r="D63" s="1" t="s">
        <v>198</v>
      </c>
      <c r="E63">
        <v>1403</v>
      </c>
      <c r="F63" s="1"/>
      <c r="G63" s="1"/>
      <c r="I63" s="1"/>
      <c r="J63" s="1" t="s">
        <v>307</v>
      </c>
      <c r="K63" s="1" t="s">
        <v>377</v>
      </c>
      <c r="L63" s="1" t="s">
        <v>318</v>
      </c>
      <c r="M63" s="1">
        <f>IF(esg_final[[#This Row],[historia_zmian.typ]]="nadpisanie", esg_final[[#This Row],[historia_zmian.wartosc_kwh]], esg_final[[#This Row],[odczyty_czyste.kwh]] + esg_final[[#This Row],[historia_zmian.wartosc_kwh]])</f>
        <v>1403</v>
      </c>
      <c r="N63" s="1">
        <f>IFERROR(esg_final[[#This Row],[aktualne_kwh]] - esg_final[[#This Row],[zuzycie_kwh]], "Brak w starym raporcie")</f>
        <v>0</v>
      </c>
      <c r="O63" s="1" t="str">
        <f>esg_final[[#This Row],[odczyty_czyste.id_wiersza]] &amp; " " &amp; esg_final[[#This Row],[historia_zmian.id_zmiany]]</f>
        <v xml:space="preserve">B_L021_02_v1 </v>
      </c>
    </row>
    <row r="64" spans="1:15" x14ac:dyDescent="0.25">
      <c r="A64" s="1" t="s">
        <v>306</v>
      </c>
      <c r="B64" s="1" t="s">
        <v>369</v>
      </c>
      <c r="C64" s="1" t="s">
        <v>336</v>
      </c>
      <c r="D64" s="1" t="s">
        <v>200</v>
      </c>
      <c r="E64">
        <v>1463</v>
      </c>
      <c r="F64" s="1"/>
      <c r="G64" s="1"/>
      <c r="I64" s="1"/>
      <c r="J64" s="1" t="s">
        <v>307</v>
      </c>
      <c r="K64" s="1" t="s">
        <v>377</v>
      </c>
      <c r="L64" s="1" t="s">
        <v>318</v>
      </c>
      <c r="M64" s="1">
        <f>IF(esg_final[[#This Row],[historia_zmian.typ]]="nadpisanie", esg_final[[#This Row],[historia_zmian.wartosc_kwh]], esg_final[[#This Row],[odczyty_czyste.kwh]] + esg_final[[#This Row],[historia_zmian.wartosc_kwh]])</f>
        <v>1463</v>
      </c>
      <c r="N64" s="1">
        <f>IFERROR(esg_final[[#This Row],[aktualne_kwh]] - esg_final[[#This Row],[zuzycie_kwh]], "Brak w starym raporcie")</f>
        <v>0</v>
      </c>
      <c r="O64" s="1" t="str">
        <f>esg_final[[#This Row],[odczyty_czyste.id_wiersza]] &amp; " " &amp; esg_final[[#This Row],[historia_zmian.id_zmiany]]</f>
        <v xml:space="preserve">B_L021_03_v1 </v>
      </c>
    </row>
    <row r="65" spans="1:15" x14ac:dyDescent="0.25">
      <c r="A65" s="1" t="s">
        <v>204</v>
      </c>
      <c r="B65" s="1" t="s">
        <v>363</v>
      </c>
      <c r="C65" s="1" t="s">
        <v>337</v>
      </c>
      <c r="D65" s="1" t="s">
        <v>202</v>
      </c>
      <c r="E65">
        <v>1366</v>
      </c>
      <c r="F65" s="1"/>
      <c r="G65" s="1"/>
      <c r="I65" s="1"/>
      <c r="J65" s="1" t="s">
        <v>308</v>
      </c>
      <c r="K65" s="1" t="s">
        <v>377</v>
      </c>
      <c r="L65" s="1" t="s">
        <v>318</v>
      </c>
      <c r="M65" s="1">
        <f>IF(esg_final[[#This Row],[historia_zmian.typ]]="nadpisanie", esg_final[[#This Row],[historia_zmian.wartosc_kwh]], esg_final[[#This Row],[odczyty_czyste.kwh]] + esg_final[[#This Row],[historia_zmian.wartosc_kwh]])</f>
        <v>1366</v>
      </c>
      <c r="N65" s="1">
        <f>IFERROR(esg_final[[#This Row],[aktualne_kwh]] - esg_final[[#This Row],[zuzycie_kwh]], "Brak w starym raporcie")</f>
        <v>0</v>
      </c>
      <c r="O65" s="1" t="str">
        <f>esg_final[[#This Row],[odczyty_czyste.id_wiersza]] &amp; " " &amp; esg_final[[#This Row],[historia_zmian.id_zmiany]]</f>
        <v xml:space="preserve">B_L022_01_v1 </v>
      </c>
    </row>
    <row r="66" spans="1:15" x14ac:dyDescent="0.25">
      <c r="A66" s="1" t="s">
        <v>204</v>
      </c>
      <c r="B66" s="1" t="s">
        <v>368</v>
      </c>
      <c r="C66" s="1" t="s">
        <v>338</v>
      </c>
      <c r="D66" s="1" t="s">
        <v>205</v>
      </c>
      <c r="E66">
        <v>1426</v>
      </c>
      <c r="F66" s="1"/>
      <c r="G66" s="1"/>
      <c r="I66" s="1"/>
      <c r="J66" s="1" t="s">
        <v>308</v>
      </c>
      <c r="K66" s="1" t="s">
        <v>377</v>
      </c>
      <c r="L66" s="1" t="s">
        <v>318</v>
      </c>
      <c r="M66" s="1">
        <f>IF(esg_final[[#This Row],[historia_zmian.typ]]="nadpisanie", esg_final[[#This Row],[historia_zmian.wartosc_kwh]], esg_final[[#This Row],[odczyty_czyste.kwh]] + esg_final[[#This Row],[historia_zmian.wartosc_kwh]])</f>
        <v>1426</v>
      </c>
      <c r="N66" s="1">
        <f>IFERROR(esg_final[[#This Row],[aktualne_kwh]] - esg_final[[#This Row],[zuzycie_kwh]], "Brak w starym raporcie")</f>
        <v>0</v>
      </c>
      <c r="O66" s="1" t="str">
        <f>esg_final[[#This Row],[odczyty_czyste.id_wiersza]] &amp; " " &amp; esg_final[[#This Row],[historia_zmian.id_zmiany]]</f>
        <v xml:space="preserve">B_L022_02_v1 </v>
      </c>
    </row>
    <row r="67" spans="1:15" x14ac:dyDescent="0.25">
      <c r="A67" s="1" t="s">
        <v>204</v>
      </c>
      <c r="B67" s="1" t="s">
        <v>369</v>
      </c>
      <c r="C67" s="1" t="s">
        <v>339</v>
      </c>
      <c r="D67" s="1" t="s">
        <v>207</v>
      </c>
      <c r="E67">
        <v>1486</v>
      </c>
      <c r="F67" s="1"/>
      <c r="G67" s="1"/>
      <c r="I67" s="1"/>
      <c r="J67" s="1" t="s">
        <v>308</v>
      </c>
      <c r="K67" s="1" t="s">
        <v>377</v>
      </c>
      <c r="L67" s="1" t="s">
        <v>318</v>
      </c>
      <c r="M67" s="1">
        <f>IF(esg_final[[#This Row],[historia_zmian.typ]]="nadpisanie", esg_final[[#This Row],[historia_zmian.wartosc_kwh]], esg_final[[#This Row],[odczyty_czyste.kwh]] + esg_final[[#This Row],[historia_zmian.wartosc_kwh]])</f>
        <v>1486</v>
      </c>
      <c r="N67" s="1">
        <f>IFERROR(esg_final[[#This Row],[aktualne_kwh]] - esg_final[[#This Row],[zuzycie_kwh]], "Brak w starym raporcie")</f>
        <v>0</v>
      </c>
      <c r="O67" s="1" t="str">
        <f>esg_final[[#This Row],[odczyty_czyste.id_wiersza]] &amp; " " &amp; esg_final[[#This Row],[historia_zmian.id_zmiany]]</f>
        <v xml:space="preserve">B_L022_03_v1 </v>
      </c>
    </row>
    <row r="68" spans="1:15" x14ac:dyDescent="0.25">
      <c r="A68" s="1" t="s">
        <v>155</v>
      </c>
      <c r="B68" s="1" t="s">
        <v>368</v>
      </c>
      <c r="C68" s="1" t="s">
        <v>341</v>
      </c>
      <c r="D68" s="1" t="s">
        <v>211</v>
      </c>
      <c r="E68">
        <v>1449</v>
      </c>
      <c r="F68" s="1"/>
      <c r="G68" s="1"/>
      <c r="I68" s="1"/>
      <c r="J68" s="1" t="s">
        <v>309</v>
      </c>
      <c r="K68" s="1" t="s">
        <v>377</v>
      </c>
      <c r="L68" s="1" t="s">
        <v>318</v>
      </c>
      <c r="M68" s="1">
        <f>IF(esg_final[[#This Row],[historia_zmian.typ]]="nadpisanie", esg_final[[#This Row],[historia_zmian.wartosc_kwh]], esg_final[[#This Row],[odczyty_czyste.kwh]] + esg_final[[#This Row],[historia_zmian.wartosc_kwh]])</f>
        <v>1449</v>
      </c>
      <c r="N68" s="1">
        <f>IFERROR(esg_final[[#This Row],[aktualne_kwh]] - esg_final[[#This Row],[zuzycie_kwh]], "Brak w starym raporcie")</f>
        <v>0</v>
      </c>
      <c r="O68" s="1" t="str">
        <f>esg_final[[#This Row],[odczyty_czyste.id_wiersza]] &amp; " " &amp; esg_final[[#This Row],[historia_zmian.id_zmiany]]</f>
        <v xml:space="preserve">B_L023_02_v1 </v>
      </c>
    </row>
    <row r="69" spans="1:15" x14ac:dyDescent="0.25">
      <c r="A69" s="1" t="s">
        <v>155</v>
      </c>
      <c r="B69" s="1" t="s">
        <v>363</v>
      </c>
      <c r="C69" s="1" t="s">
        <v>340</v>
      </c>
      <c r="D69" s="1" t="s">
        <v>209</v>
      </c>
      <c r="E69">
        <v>1389</v>
      </c>
      <c r="F69" s="1"/>
      <c r="G69" s="1"/>
      <c r="I69" s="1"/>
      <c r="J69" s="1" t="s">
        <v>309</v>
      </c>
      <c r="K69" s="1" t="s">
        <v>377</v>
      </c>
      <c r="L69" s="1" t="s">
        <v>318</v>
      </c>
      <c r="M69" s="1">
        <f>IF(esg_final[[#This Row],[historia_zmian.typ]]="nadpisanie", esg_final[[#This Row],[historia_zmian.wartosc_kwh]], esg_final[[#This Row],[odczyty_czyste.kwh]] + esg_final[[#This Row],[historia_zmian.wartosc_kwh]])</f>
        <v>1389</v>
      </c>
      <c r="N69" s="1">
        <f>IFERROR(esg_final[[#This Row],[aktualne_kwh]] - esg_final[[#This Row],[zuzycie_kwh]], "Brak w starym raporcie")</f>
        <v>0</v>
      </c>
      <c r="O69" s="1" t="str">
        <f>esg_final[[#This Row],[odczyty_czyste.id_wiersza]] &amp; " " &amp; esg_final[[#This Row],[historia_zmian.id_zmiany]]</f>
        <v xml:space="preserve">B_L023_01_v1 </v>
      </c>
    </row>
    <row r="70" spans="1:15" x14ac:dyDescent="0.25">
      <c r="A70" s="1" t="s">
        <v>155</v>
      </c>
      <c r="B70" s="1" t="s">
        <v>369</v>
      </c>
      <c r="C70" s="1" t="s">
        <v>342</v>
      </c>
      <c r="D70" s="1" t="s">
        <v>213</v>
      </c>
      <c r="E70">
        <v>1509</v>
      </c>
      <c r="F70" s="1"/>
      <c r="G70" s="1"/>
      <c r="I70" s="1"/>
      <c r="J70" s="1" t="s">
        <v>309</v>
      </c>
      <c r="K70" s="1" t="s">
        <v>377</v>
      </c>
      <c r="L70" s="1" t="s">
        <v>318</v>
      </c>
      <c r="M70" s="1">
        <f>IF(esg_final[[#This Row],[historia_zmian.typ]]="nadpisanie", esg_final[[#This Row],[historia_zmian.wartosc_kwh]], esg_final[[#This Row],[odczyty_czyste.kwh]] + esg_final[[#This Row],[historia_zmian.wartosc_kwh]])</f>
        <v>1509</v>
      </c>
      <c r="N70" s="1">
        <f>IFERROR(esg_final[[#This Row],[aktualne_kwh]] - esg_final[[#This Row],[zuzycie_kwh]], "Brak w starym raporcie")</f>
        <v>0</v>
      </c>
      <c r="O70" s="1" t="str">
        <f>esg_final[[#This Row],[odczyty_czyste.id_wiersza]] &amp; " " &amp; esg_final[[#This Row],[historia_zmian.id_zmiany]]</f>
        <v xml:space="preserve">B_L023_03_v1 </v>
      </c>
    </row>
    <row r="71" spans="1:15" x14ac:dyDescent="0.25">
      <c r="A71" s="1" t="s">
        <v>217</v>
      </c>
      <c r="B71" s="1" t="s">
        <v>363</v>
      </c>
      <c r="C71" s="1" t="s">
        <v>343</v>
      </c>
      <c r="D71" s="1" t="s">
        <v>215</v>
      </c>
      <c r="E71">
        <v>1412</v>
      </c>
      <c r="F71" s="1"/>
      <c r="G71" s="1"/>
      <c r="I71" s="1"/>
      <c r="J71" s="1" t="s">
        <v>310</v>
      </c>
      <c r="K71" s="1" t="s">
        <v>377</v>
      </c>
      <c r="L71" s="1" t="s">
        <v>318</v>
      </c>
      <c r="M71" s="1">
        <f>IF(esg_final[[#This Row],[historia_zmian.typ]]="nadpisanie", esg_final[[#This Row],[historia_zmian.wartosc_kwh]], esg_final[[#This Row],[odczyty_czyste.kwh]] + esg_final[[#This Row],[historia_zmian.wartosc_kwh]])</f>
        <v>1412</v>
      </c>
      <c r="N71" s="1">
        <f>IFERROR(esg_final[[#This Row],[aktualne_kwh]] - esg_final[[#This Row],[zuzycie_kwh]], "Brak w starym raporcie")</f>
        <v>0</v>
      </c>
      <c r="O71" s="1" t="str">
        <f>esg_final[[#This Row],[odczyty_czyste.id_wiersza]] &amp; " " &amp; esg_final[[#This Row],[historia_zmian.id_zmiany]]</f>
        <v xml:space="preserve">B_L024_01_v1 </v>
      </c>
    </row>
    <row r="72" spans="1:15" x14ac:dyDescent="0.25">
      <c r="A72" s="1" t="s">
        <v>217</v>
      </c>
      <c r="B72" s="1" t="s">
        <v>368</v>
      </c>
      <c r="C72" s="1" t="s">
        <v>344</v>
      </c>
      <c r="D72" s="1" t="s">
        <v>218</v>
      </c>
      <c r="E72">
        <v>1472</v>
      </c>
      <c r="F72" s="1"/>
      <c r="G72" s="1"/>
      <c r="I72" s="1"/>
      <c r="J72" s="1" t="s">
        <v>310</v>
      </c>
      <c r="K72" s="1" t="s">
        <v>377</v>
      </c>
      <c r="L72" s="1" t="s">
        <v>318</v>
      </c>
      <c r="M72" s="1">
        <f>IF(esg_final[[#This Row],[historia_zmian.typ]]="nadpisanie", esg_final[[#This Row],[historia_zmian.wartosc_kwh]], esg_final[[#This Row],[odczyty_czyste.kwh]] + esg_final[[#This Row],[historia_zmian.wartosc_kwh]])</f>
        <v>1472</v>
      </c>
      <c r="N72" s="1">
        <f>IFERROR(esg_final[[#This Row],[aktualne_kwh]] - esg_final[[#This Row],[zuzycie_kwh]], "Brak w starym raporcie")</f>
        <v>0</v>
      </c>
      <c r="O72" s="1" t="str">
        <f>esg_final[[#This Row],[odczyty_czyste.id_wiersza]] &amp; " " &amp; esg_final[[#This Row],[historia_zmian.id_zmiany]]</f>
        <v xml:space="preserve">B_L024_02_v1 </v>
      </c>
    </row>
    <row r="73" spans="1:15" x14ac:dyDescent="0.25">
      <c r="A73" s="1" t="s">
        <v>217</v>
      </c>
      <c r="B73" s="1" t="s">
        <v>369</v>
      </c>
      <c r="C73" s="1" t="s">
        <v>345</v>
      </c>
      <c r="D73" s="1" t="s">
        <v>220</v>
      </c>
      <c r="E73">
        <v>1532</v>
      </c>
      <c r="F73" s="1"/>
      <c r="G73" s="1"/>
      <c r="I73" s="1"/>
      <c r="J73" s="1" t="s">
        <v>310</v>
      </c>
      <c r="K73" s="1" t="s">
        <v>377</v>
      </c>
      <c r="L73" s="1" t="s">
        <v>318</v>
      </c>
      <c r="M73" s="1">
        <f>IF(esg_final[[#This Row],[historia_zmian.typ]]="nadpisanie", esg_final[[#This Row],[historia_zmian.wartosc_kwh]], esg_final[[#This Row],[odczyty_czyste.kwh]] + esg_final[[#This Row],[historia_zmian.wartosc_kwh]])</f>
        <v>1532</v>
      </c>
      <c r="N73" s="1">
        <f>IFERROR(esg_final[[#This Row],[aktualne_kwh]] - esg_final[[#This Row],[zuzycie_kwh]], "Brak w starym raporcie")</f>
        <v>0</v>
      </c>
      <c r="O73" s="1" t="str">
        <f>esg_final[[#This Row],[odczyty_czyste.id_wiersza]] &amp; " " &amp; esg_final[[#This Row],[historia_zmian.id_zmiany]]</f>
        <v xml:space="preserve">B_L024_03_v1 </v>
      </c>
    </row>
    <row r="74" spans="1:15" x14ac:dyDescent="0.25">
      <c r="A74" s="1" t="s">
        <v>224</v>
      </c>
      <c r="B74" s="1" t="s">
        <v>363</v>
      </c>
      <c r="C74" s="1" t="s">
        <v>346</v>
      </c>
      <c r="D74" s="1" t="s">
        <v>222</v>
      </c>
      <c r="E74">
        <v>1435</v>
      </c>
      <c r="F74" s="1"/>
      <c r="G74" s="1"/>
      <c r="I74" s="1"/>
      <c r="J74" s="1" t="s">
        <v>311</v>
      </c>
      <c r="K74" s="1" t="s">
        <v>377</v>
      </c>
      <c r="L74" s="1" t="s">
        <v>318</v>
      </c>
      <c r="M74" s="1">
        <f>IF(esg_final[[#This Row],[historia_zmian.typ]]="nadpisanie", esg_final[[#This Row],[historia_zmian.wartosc_kwh]], esg_final[[#This Row],[odczyty_czyste.kwh]] + esg_final[[#This Row],[historia_zmian.wartosc_kwh]])</f>
        <v>1435</v>
      </c>
      <c r="N74" s="1">
        <f>IFERROR(esg_final[[#This Row],[aktualne_kwh]] - esg_final[[#This Row],[zuzycie_kwh]], "Brak w starym raporcie")</f>
        <v>0</v>
      </c>
      <c r="O74" s="1" t="str">
        <f>esg_final[[#This Row],[odczyty_czyste.id_wiersza]] &amp; " " &amp; esg_final[[#This Row],[historia_zmian.id_zmiany]]</f>
        <v xml:space="preserve">B_L025_01_v1 </v>
      </c>
    </row>
    <row r="75" spans="1:15" x14ac:dyDescent="0.25">
      <c r="A75" s="1" t="s">
        <v>224</v>
      </c>
      <c r="B75" s="1" t="s">
        <v>369</v>
      </c>
      <c r="C75" s="1" t="s">
        <v>347</v>
      </c>
      <c r="D75" s="1" t="s">
        <v>225</v>
      </c>
      <c r="E75">
        <v>1555</v>
      </c>
      <c r="F75" s="1"/>
      <c r="G75" s="1"/>
      <c r="I75" s="1"/>
      <c r="J75" s="1" t="s">
        <v>311</v>
      </c>
      <c r="K75" s="1" t="s">
        <v>377</v>
      </c>
      <c r="L75" s="1" t="s">
        <v>318</v>
      </c>
      <c r="M75" s="1">
        <f>IF(esg_final[[#This Row],[historia_zmian.typ]]="nadpisanie", esg_final[[#This Row],[historia_zmian.wartosc_kwh]], esg_final[[#This Row],[odczyty_czyste.kwh]] + esg_final[[#This Row],[historia_zmian.wartosc_kwh]])</f>
        <v>1555</v>
      </c>
      <c r="N75" s="1">
        <f>IFERROR(esg_final[[#This Row],[aktualne_kwh]] - esg_final[[#This Row],[zuzycie_kwh]], "Brak w starym raporcie")</f>
        <v>0</v>
      </c>
      <c r="O75" s="1" t="str">
        <f>esg_final[[#This Row],[odczyty_czyste.id_wiersza]] &amp; " " &amp; esg_final[[#This Row],[historia_zmian.id_zmiany]]</f>
        <v xml:space="preserve">B_L025_03_v1 </v>
      </c>
    </row>
    <row r="76" spans="1:15" x14ac:dyDescent="0.25">
      <c r="A76" s="1" t="s">
        <v>224</v>
      </c>
      <c r="B76" s="1" t="s">
        <v>368</v>
      </c>
      <c r="C76" s="1" t="s">
        <v>318</v>
      </c>
      <c r="D76" s="1"/>
      <c r="F76" s="1" t="s">
        <v>281</v>
      </c>
      <c r="G76" s="1" t="s">
        <v>272</v>
      </c>
      <c r="H76">
        <v>900</v>
      </c>
      <c r="I76" s="1" t="s">
        <v>273</v>
      </c>
      <c r="J76" s="1" t="s">
        <v>311</v>
      </c>
      <c r="K76" s="1" t="s">
        <v>377</v>
      </c>
      <c r="L76" s="1" t="s">
        <v>318</v>
      </c>
      <c r="M76" s="1">
        <f>IF(esg_final[[#This Row],[historia_zmian.typ]]="nadpisanie", esg_final[[#This Row],[historia_zmian.wartosc_kwh]], esg_final[[#This Row],[odczyty_czyste.kwh]] + esg_final[[#This Row],[historia_zmian.wartosc_kwh]])</f>
        <v>900</v>
      </c>
      <c r="N76" s="1" t="str">
        <f>IFERROR(esg_final[[#This Row],[aktualne_kwh]] - esg_final[[#This Row],[zuzycie_kwh]], "Brak w starym raporcie")</f>
        <v>Brak w starym raporcie</v>
      </c>
      <c r="O76" s="1" t="str">
        <f>esg_final[[#This Row],[odczyty_czyste.id_wiersza]] &amp; " " &amp; esg_final[[#This Row],[historia_zmian.id_zmiany]]</f>
        <v xml:space="preserve"> K05</v>
      </c>
    </row>
    <row r="77" spans="1:15" x14ac:dyDescent="0.25">
      <c r="A77" s="1" t="s">
        <v>229</v>
      </c>
      <c r="B77" s="1" t="s">
        <v>363</v>
      </c>
      <c r="C77" s="1" t="s">
        <v>348</v>
      </c>
      <c r="D77" s="1" t="s">
        <v>227</v>
      </c>
      <c r="E77">
        <v>1458</v>
      </c>
      <c r="F77" s="1"/>
      <c r="G77" s="1"/>
      <c r="I77" s="1"/>
      <c r="J77" s="1" t="s">
        <v>312</v>
      </c>
      <c r="K77" s="1" t="s">
        <v>377</v>
      </c>
      <c r="L77" s="1" t="s">
        <v>318</v>
      </c>
      <c r="M77" s="1">
        <f>IF(esg_final[[#This Row],[historia_zmian.typ]]="nadpisanie", esg_final[[#This Row],[historia_zmian.wartosc_kwh]], esg_final[[#This Row],[odczyty_czyste.kwh]] + esg_final[[#This Row],[historia_zmian.wartosc_kwh]])</f>
        <v>1458</v>
      </c>
      <c r="N77" s="1">
        <f>IFERROR(esg_final[[#This Row],[aktualne_kwh]] - esg_final[[#This Row],[zuzycie_kwh]], "Brak w starym raporcie")</f>
        <v>0</v>
      </c>
      <c r="O77" s="1" t="str">
        <f>esg_final[[#This Row],[odczyty_czyste.id_wiersza]] &amp; " " &amp; esg_final[[#This Row],[historia_zmian.id_zmiany]]</f>
        <v xml:space="preserve">B_L026_01_v1 </v>
      </c>
    </row>
    <row r="78" spans="1:15" x14ac:dyDescent="0.25">
      <c r="A78" s="1" t="s">
        <v>229</v>
      </c>
      <c r="B78" s="1" t="s">
        <v>368</v>
      </c>
      <c r="C78" s="1" t="s">
        <v>349</v>
      </c>
      <c r="D78" s="1" t="s">
        <v>230</v>
      </c>
      <c r="E78">
        <v>1518</v>
      </c>
      <c r="F78" s="1"/>
      <c r="G78" s="1"/>
      <c r="I78" s="1"/>
      <c r="J78" s="1" t="s">
        <v>312</v>
      </c>
      <c r="K78" s="1" t="s">
        <v>377</v>
      </c>
      <c r="L78" s="1" t="s">
        <v>318</v>
      </c>
      <c r="M78" s="1">
        <f>IF(esg_final[[#This Row],[historia_zmian.typ]]="nadpisanie", esg_final[[#This Row],[historia_zmian.wartosc_kwh]], esg_final[[#This Row],[odczyty_czyste.kwh]] + esg_final[[#This Row],[historia_zmian.wartosc_kwh]])</f>
        <v>1518</v>
      </c>
      <c r="N78" s="1">
        <f>IFERROR(esg_final[[#This Row],[aktualne_kwh]] - esg_final[[#This Row],[zuzycie_kwh]], "Brak w starym raporcie")</f>
        <v>0</v>
      </c>
      <c r="O78" s="1" t="str">
        <f>esg_final[[#This Row],[odczyty_czyste.id_wiersza]] &amp; " " &amp; esg_final[[#This Row],[historia_zmian.id_zmiany]]</f>
        <v xml:space="preserve">B_L026_02_v1 </v>
      </c>
    </row>
    <row r="79" spans="1:15" x14ac:dyDescent="0.25">
      <c r="A79" s="1" t="s">
        <v>229</v>
      </c>
      <c r="B79" s="1" t="s">
        <v>369</v>
      </c>
      <c r="C79" s="1" t="s">
        <v>350</v>
      </c>
      <c r="D79" s="1" t="s">
        <v>232</v>
      </c>
      <c r="E79">
        <v>1578</v>
      </c>
      <c r="F79" s="1"/>
      <c r="G79" s="1"/>
      <c r="I79" s="1"/>
      <c r="J79" s="1" t="s">
        <v>312</v>
      </c>
      <c r="K79" s="1" t="s">
        <v>377</v>
      </c>
      <c r="L79" s="1" t="s">
        <v>318</v>
      </c>
      <c r="M79" s="1">
        <f>IF(esg_final[[#This Row],[historia_zmian.typ]]="nadpisanie", esg_final[[#This Row],[historia_zmian.wartosc_kwh]], esg_final[[#This Row],[odczyty_czyste.kwh]] + esg_final[[#This Row],[historia_zmian.wartosc_kwh]])</f>
        <v>1578</v>
      </c>
      <c r="N79" s="1">
        <f>IFERROR(esg_final[[#This Row],[aktualne_kwh]] - esg_final[[#This Row],[zuzycie_kwh]], "Brak w starym raporcie")</f>
        <v>0</v>
      </c>
      <c r="O79" s="1" t="str">
        <f>esg_final[[#This Row],[odczyty_czyste.id_wiersza]] &amp; " " &amp; esg_final[[#This Row],[historia_zmian.id_zmiany]]</f>
        <v xml:space="preserve">B_L026_03_v1 </v>
      </c>
    </row>
    <row r="80" spans="1:15" x14ac:dyDescent="0.25">
      <c r="A80" s="1" t="s">
        <v>236</v>
      </c>
      <c r="B80" s="1" t="s">
        <v>363</v>
      </c>
      <c r="C80" s="1" t="s">
        <v>351</v>
      </c>
      <c r="D80" s="1" t="s">
        <v>234</v>
      </c>
      <c r="E80">
        <v>1481</v>
      </c>
      <c r="F80" s="1"/>
      <c r="G80" s="1"/>
      <c r="I80" s="1"/>
      <c r="J80" s="1" t="s">
        <v>313</v>
      </c>
      <c r="K80" s="1" t="s">
        <v>377</v>
      </c>
      <c r="L80" s="1" t="s">
        <v>318</v>
      </c>
      <c r="M80" s="1">
        <f>IF(esg_final[[#This Row],[historia_zmian.typ]]="nadpisanie", esg_final[[#This Row],[historia_zmian.wartosc_kwh]], esg_final[[#This Row],[odczyty_czyste.kwh]] + esg_final[[#This Row],[historia_zmian.wartosc_kwh]])</f>
        <v>1481</v>
      </c>
      <c r="N80" s="1">
        <f>IFERROR(esg_final[[#This Row],[aktualne_kwh]] - esg_final[[#This Row],[zuzycie_kwh]], "Brak w starym raporcie")</f>
        <v>0</v>
      </c>
      <c r="O80" s="1" t="str">
        <f>esg_final[[#This Row],[odczyty_czyste.id_wiersza]] &amp; " " &amp; esg_final[[#This Row],[historia_zmian.id_zmiany]]</f>
        <v xml:space="preserve">B_L027_01_v1 </v>
      </c>
    </row>
    <row r="81" spans="1:15" x14ac:dyDescent="0.25">
      <c r="A81" s="1" t="s">
        <v>236</v>
      </c>
      <c r="B81" s="1" t="s">
        <v>368</v>
      </c>
      <c r="C81" s="1" t="s">
        <v>352</v>
      </c>
      <c r="D81" s="1" t="s">
        <v>237</v>
      </c>
      <c r="E81">
        <v>1541</v>
      </c>
      <c r="F81" s="1"/>
      <c r="G81" s="1"/>
      <c r="I81" s="1"/>
      <c r="J81" s="1" t="s">
        <v>313</v>
      </c>
      <c r="K81" s="1" t="s">
        <v>377</v>
      </c>
      <c r="L81" s="1" t="s">
        <v>318</v>
      </c>
      <c r="M81" s="1">
        <f>IF(esg_final[[#This Row],[historia_zmian.typ]]="nadpisanie", esg_final[[#This Row],[historia_zmian.wartosc_kwh]], esg_final[[#This Row],[odczyty_czyste.kwh]] + esg_final[[#This Row],[historia_zmian.wartosc_kwh]])</f>
        <v>1541</v>
      </c>
      <c r="N81" s="1">
        <f>IFERROR(esg_final[[#This Row],[aktualne_kwh]] - esg_final[[#This Row],[zuzycie_kwh]], "Brak w starym raporcie")</f>
        <v>0</v>
      </c>
      <c r="O81" s="1" t="str">
        <f>esg_final[[#This Row],[odczyty_czyste.id_wiersza]] &amp; " " &amp; esg_final[[#This Row],[historia_zmian.id_zmiany]]</f>
        <v xml:space="preserve">B_L027_02_v1 </v>
      </c>
    </row>
    <row r="82" spans="1:15" x14ac:dyDescent="0.25">
      <c r="A82" s="1" t="s">
        <v>236</v>
      </c>
      <c r="B82" s="1" t="s">
        <v>369</v>
      </c>
      <c r="C82" s="1" t="s">
        <v>353</v>
      </c>
      <c r="D82" s="1" t="s">
        <v>239</v>
      </c>
      <c r="E82">
        <v>1601</v>
      </c>
      <c r="F82" s="1"/>
      <c r="G82" s="1"/>
      <c r="I82" s="1"/>
      <c r="J82" s="1" t="s">
        <v>313</v>
      </c>
      <c r="K82" s="1" t="s">
        <v>377</v>
      </c>
      <c r="L82" s="1" t="s">
        <v>318</v>
      </c>
      <c r="M82" s="1">
        <f>IF(esg_final[[#This Row],[historia_zmian.typ]]="nadpisanie", esg_final[[#This Row],[historia_zmian.wartosc_kwh]], esg_final[[#This Row],[odczyty_czyste.kwh]] + esg_final[[#This Row],[historia_zmian.wartosc_kwh]])</f>
        <v>1601</v>
      </c>
      <c r="N82" s="1">
        <f>IFERROR(esg_final[[#This Row],[aktualne_kwh]] - esg_final[[#This Row],[zuzycie_kwh]], "Brak w starym raporcie")</f>
        <v>0</v>
      </c>
      <c r="O82" s="1" t="str">
        <f>esg_final[[#This Row],[odczyty_czyste.id_wiersza]] &amp; " " &amp; esg_final[[#This Row],[historia_zmian.id_zmiany]]</f>
        <v xml:space="preserve">B_L027_03_v1 </v>
      </c>
    </row>
    <row r="83" spans="1:15" x14ac:dyDescent="0.25">
      <c r="A83" s="1" t="s">
        <v>243</v>
      </c>
      <c r="B83" s="1" t="s">
        <v>363</v>
      </c>
      <c r="C83" s="1" t="s">
        <v>354</v>
      </c>
      <c r="D83" s="1" t="s">
        <v>241</v>
      </c>
      <c r="E83">
        <v>1504</v>
      </c>
      <c r="F83" s="1"/>
      <c r="G83" s="1"/>
      <c r="I83" s="1"/>
      <c r="J83" s="1" t="s">
        <v>314</v>
      </c>
      <c r="K83" s="1" t="s">
        <v>377</v>
      </c>
      <c r="L83" s="1" t="s">
        <v>318</v>
      </c>
      <c r="M83" s="1">
        <f>IF(esg_final[[#This Row],[historia_zmian.typ]]="nadpisanie", esg_final[[#This Row],[historia_zmian.wartosc_kwh]], esg_final[[#This Row],[odczyty_czyste.kwh]] + esg_final[[#This Row],[historia_zmian.wartosc_kwh]])</f>
        <v>1504</v>
      </c>
      <c r="N83" s="1">
        <f>IFERROR(esg_final[[#This Row],[aktualne_kwh]] - esg_final[[#This Row],[zuzycie_kwh]], "Brak w starym raporcie")</f>
        <v>0</v>
      </c>
      <c r="O83" s="1" t="str">
        <f>esg_final[[#This Row],[odczyty_czyste.id_wiersza]] &amp; " " &amp; esg_final[[#This Row],[historia_zmian.id_zmiany]]</f>
        <v xml:space="preserve">B_L028_01_v1 </v>
      </c>
    </row>
    <row r="84" spans="1:15" x14ac:dyDescent="0.25">
      <c r="A84" s="1" t="s">
        <v>243</v>
      </c>
      <c r="B84" s="1" t="s">
        <v>368</v>
      </c>
      <c r="C84" s="1" t="s">
        <v>355</v>
      </c>
      <c r="D84" s="1" t="s">
        <v>244</v>
      </c>
      <c r="E84">
        <v>1564</v>
      </c>
      <c r="F84" s="1"/>
      <c r="G84" s="1"/>
      <c r="I84" s="1"/>
      <c r="J84" s="1" t="s">
        <v>314</v>
      </c>
      <c r="K84" s="1" t="s">
        <v>377</v>
      </c>
      <c r="L84" s="1" t="s">
        <v>318</v>
      </c>
      <c r="M84" s="1">
        <f>IF(esg_final[[#This Row],[historia_zmian.typ]]="nadpisanie", esg_final[[#This Row],[historia_zmian.wartosc_kwh]], esg_final[[#This Row],[odczyty_czyste.kwh]] + esg_final[[#This Row],[historia_zmian.wartosc_kwh]])</f>
        <v>1564</v>
      </c>
      <c r="N84" s="1">
        <f>IFERROR(esg_final[[#This Row],[aktualne_kwh]] - esg_final[[#This Row],[zuzycie_kwh]], "Brak w starym raporcie")</f>
        <v>0</v>
      </c>
      <c r="O84" s="1" t="str">
        <f>esg_final[[#This Row],[odczyty_czyste.id_wiersza]] &amp; " " &amp; esg_final[[#This Row],[historia_zmian.id_zmiany]]</f>
        <v xml:space="preserve">B_L028_02_v1 </v>
      </c>
    </row>
    <row r="85" spans="1:15" x14ac:dyDescent="0.25">
      <c r="A85" s="1" t="s">
        <v>243</v>
      </c>
      <c r="B85" s="1" t="s">
        <v>369</v>
      </c>
      <c r="C85" s="1" t="s">
        <v>356</v>
      </c>
      <c r="D85" s="1" t="s">
        <v>246</v>
      </c>
      <c r="E85">
        <v>1624</v>
      </c>
      <c r="F85" s="1"/>
      <c r="G85" s="1"/>
      <c r="I85" s="1"/>
      <c r="J85" s="1" t="s">
        <v>314</v>
      </c>
      <c r="K85" s="1" t="s">
        <v>377</v>
      </c>
      <c r="L85" s="1" t="s">
        <v>318</v>
      </c>
      <c r="M85" s="1">
        <f>IF(esg_final[[#This Row],[historia_zmian.typ]]="nadpisanie", esg_final[[#This Row],[historia_zmian.wartosc_kwh]], esg_final[[#This Row],[odczyty_czyste.kwh]] + esg_final[[#This Row],[historia_zmian.wartosc_kwh]])</f>
        <v>1624</v>
      </c>
      <c r="N85" s="1">
        <f>IFERROR(esg_final[[#This Row],[aktualne_kwh]] - esg_final[[#This Row],[zuzycie_kwh]], "Brak w starym raporcie")</f>
        <v>0</v>
      </c>
      <c r="O85" s="1" t="str">
        <f>esg_final[[#This Row],[odczyty_czyste.id_wiersza]] &amp; " " &amp; esg_final[[#This Row],[historia_zmian.id_zmiany]]</f>
        <v xml:space="preserve">B_L028_03_v1 </v>
      </c>
    </row>
    <row r="86" spans="1:15" x14ac:dyDescent="0.25">
      <c r="A86" s="1" t="s">
        <v>250</v>
      </c>
      <c r="B86" s="1" t="s">
        <v>363</v>
      </c>
      <c r="C86" s="1" t="s">
        <v>357</v>
      </c>
      <c r="D86" s="1" t="s">
        <v>248</v>
      </c>
      <c r="E86">
        <v>1527</v>
      </c>
      <c r="F86" s="1"/>
      <c r="G86" s="1"/>
      <c r="I86" s="1"/>
      <c r="J86" s="1" t="s">
        <v>315</v>
      </c>
      <c r="K86" s="1" t="s">
        <v>377</v>
      </c>
      <c r="L86" s="1" t="s">
        <v>368</v>
      </c>
      <c r="M86" s="1">
        <f>IF(esg_final[[#This Row],[historia_zmian.typ]]="nadpisanie", esg_final[[#This Row],[historia_zmian.wartosc_kwh]], esg_final[[#This Row],[odczyty_czyste.kwh]] + esg_final[[#This Row],[historia_zmian.wartosc_kwh]])</f>
        <v>1527</v>
      </c>
      <c r="N86" s="1">
        <f>IFERROR(esg_final[[#This Row],[aktualne_kwh]] - esg_final[[#This Row],[zuzycie_kwh]], "Brak w starym raporcie")</f>
        <v>0</v>
      </c>
      <c r="O86" s="1" t="str">
        <f>esg_final[[#This Row],[odczyty_czyste.id_wiersza]] &amp; " " &amp; esg_final[[#This Row],[historia_zmian.id_zmiany]]</f>
        <v xml:space="preserve">B_L029_01_v1 </v>
      </c>
    </row>
    <row r="87" spans="1:15" x14ac:dyDescent="0.25">
      <c r="A87" s="1" t="s">
        <v>250</v>
      </c>
      <c r="B87" s="1" t="s">
        <v>368</v>
      </c>
      <c r="C87" s="1" t="s">
        <v>358</v>
      </c>
      <c r="D87" s="1" t="s">
        <v>251</v>
      </c>
      <c r="E87">
        <v>1587</v>
      </c>
      <c r="F87" s="1"/>
      <c r="G87" s="1"/>
      <c r="I87" s="1"/>
      <c r="J87" s="1" t="s">
        <v>315</v>
      </c>
      <c r="K87" s="1" t="s">
        <v>377</v>
      </c>
      <c r="L87" s="1" t="s">
        <v>368</v>
      </c>
      <c r="M87" s="1">
        <f>IF(esg_final[[#This Row],[historia_zmian.typ]]="nadpisanie", esg_final[[#This Row],[historia_zmian.wartosc_kwh]], esg_final[[#This Row],[odczyty_czyste.kwh]] + esg_final[[#This Row],[historia_zmian.wartosc_kwh]])</f>
        <v>1587</v>
      </c>
      <c r="N87" s="1">
        <f>IFERROR(esg_final[[#This Row],[aktualne_kwh]] - esg_final[[#This Row],[zuzycie_kwh]], "Brak w starym raporcie")</f>
        <v>0</v>
      </c>
      <c r="O87" s="1" t="str">
        <f>esg_final[[#This Row],[odczyty_czyste.id_wiersza]] &amp; " " &amp; esg_final[[#This Row],[historia_zmian.id_zmiany]]</f>
        <v xml:space="preserve">B_L029_02_v1 </v>
      </c>
    </row>
    <row r="88" spans="1:15" x14ac:dyDescent="0.25">
      <c r="A88" s="1" t="s">
        <v>250</v>
      </c>
      <c r="B88" s="1" t="s">
        <v>369</v>
      </c>
      <c r="C88" s="1" t="s">
        <v>359</v>
      </c>
      <c r="D88" s="1" t="s">
        <v>253</v>
      </c>
      <c r="E88">
        <v>1647</v>
      </c>
      <c r="F88" s="1"/>
      <c r="G88" s="1"/>
      <c r="I88" s="1"/>
      <c r="J88" s="1" t="s">
        <v>315</v>
      </c>
      <c r="K88" s="1" t="s">
        <v>377</v>
      </c>
      <c r="L88" s="1" t="s">
        <v>368</v>
      </c>
      <c r="M88" s="1"/>
      <c r="N88" s="1"/>
      <c r="O88" s="1" t="str">
        <f>esg_final[[#This Row],[odczyty_czyste.id_wiersza]] &amp; " " &amp; esg_final[[#This Row],[historia_zmian.id_zmiany]]</f>
        <v xml:space="preserve">B_L029_03_v1 </v>
      </c>
    </row>
    <row r="89" spans="1:15" x14ac:dyDescent="0.25">
      <c r="A89" s="1" t="s">
        <v>257</v>
      </c>
      <c r="B89" s="1" t="s">
        <v>363</v>
      </c>
      <c r="C89" s="1" t="s">
        <v>360</v>
      </c>
      <c r="D89" s="1" t="s">
        <v>255</v>
      </c>
      <c r="E89">
        <v>1550</v>
      </c>
      <c r="F89" s="1"/>
      <c r="G89" s="1"/>
      <c r="I89" s="1"/>
      <c r="J89" s="1" t="s">
        <v>316</v>
      </c>
      <c r="K89" s="1" t="s">
        <v>368</v>
      </c>
      <c r="L89" s="1" t="s">
        <v>318</v>
      </c>
      <c r="M89" s="1"/>
      <c r="N89" s="1"/>
      <c r="O89" s="1" t="str">
        <f>esg_final[[#This Row],[odczyty_czyste.id_wiersza]] &amp; " " &amp; esg_final[[#This Row],[historia_zmian.id_zmiany]]</f>
        <v xml:space="preserve">B_L030_01_v1 </v>
      </c>
    </row>
    <row r="90" spans="1:15" x14ac:dyDescent="0.25">
      <c r="A90" s="1" t="s">
        <v>257</v>
      </c>
      <c r="B90" s="1" t="s">
        <v>368</v>
      </c>
      <c r="C90" s="1" t="s">
        <v>361</v>
      </c>
      <c r="D90" s="1" t="s">
        <v>258</v>
      </c>
      <c r="E90">
        <v>1610</v>
      </c>
      <c r="F90" s="1"/>
      <c r="G90" s="1"/>
      <c r="I90" s="1"/>
      <c r="J90" s="1" t="s">
        <v>316</v>
      </c>
      <c r="K90" s="1" t="s">
        <v>368</v>
      </c>
      <c r="L90" s="1" t="s">
        <v>318</v>
      </c>
      <c r="M90" s="1">
        <f>IF(esg_final[[#This Row],[historia_zmian.typ]]="nadpisanie", esg_final[[#This Row],[historia_zmian.wartosc_kwh]], esg_final[[#This Row],[odczyty_czyste.kwh]] + esg_final[[#This Row],[historia_zmian.wartosc_kwh]])</f>
        <v>1610</v>
      </c>
      <c r="N90" s="1">
        <f>IFERROR(esg_final[[#This Row],[aktualne_kwh]] - esg_final[[#This Row],[zuzycie_kwh]], "Brak w starym raporcie")</f>
        <v>0</v>
      </c>
      <c r="O90" s="1" t="str">
        <f>esg_final[[#This Row],[odczyty_czyste.id_wiersza]] &amp; " " &amp; esg_final[[#This Row],[historia_zmian.id_zmiany]]</f>
        <v xml:space="preserve">B_L030_02_v1 </v>
      </c>
    </row>
    <row r="91" spans="1:15" x14ac:dyDescent="0.25">
      <c r="A91" s="1" t="s">
        <v>257</v>
      </c>
      <c r="B91" s="1" t="s">
        <v>369</v>
      </c>
      <c r="C91" s="1" t="s">
        <v>362</v>
      </c>
      <c r="D91" s="1" t="s">
        <v>260</v>
      </c>
      <c r="E91">
        <v>1670</v>
      </c>
      <c r="F91" s="1"/>
      <c r="G91" s="1"/>
      <c r="I91" s="1"/>
      <c r="J91" s="1" t="s">
        <v>316</v>
      </c>
      <c r="K91" s="1" t="s">
        <v>368</v>
      </c>
      <c r="L91" s="1" t="s">
        <v>318</v>
      </c>
      <c r="M91" s="1">
        <f>IF(esg_final[[#This Row],[historia_zmian.typ]]="nadpisanie", esg_final[[#This Row],[historia_zmian.wartosc_kwh]], esg_final[[#This Row],[odczyty_czyste.kwh]] + esg_final[[#This Row],[historia_zmian.wartosc_kwh]])</f>
        <v>1670</v>
      </c>
      <c r="N91" s="1">
        <f>IFERROR(esg_final[[#This Row],[aktualne_kwh]] - esg_final[[#This Row],[zuzycie_kwh]], "Brak w starym raporcie")</f>
        <v>0</v>
      </c>
      <c r="O91" s="1" t="str">
        <f>esg_final[[#This Row],[odczyty_czyste.id_wiersza]] &amp; " " &amp; esg_final[[#This Row],[historia_zmian.id_zmiany]]</f>
        <v xml:space="preserve">B_L030_03_v1 </v>
      </c>
    </row>
    <row r="92" spans="1:15" x14ac:dyDescent="0.25">
      <c r="A92" s="1" t="s">
        <v>159</v>
      </c>
      <c r="B92" s="1" t="s">
        <v>363</v>
      </c>
      <c r="C92" s="1" t="s">
        <v>160</v>
      </c>
      <c r="D92" s="1" t="s">
        <v>157</v>
      </c>
      <c r="E92">
        <v>300</v>
      </c>
      <c r="F92" s="1"/>
      <c r="G92" s="1"/>
      <c r="I92" s="1"/>
      <c r="J92" s="1"/>
      <c r="K92" s="1"/>
      <c r="L92" s="1"/>
      <c r="M92" s="1"/>
      <c r="N92" s="1"/>
      <c r="O92" s="1" t="str">
        <f>esg_final[[#This Row],[odczyty_czyste.id_wiersza]] &amp; " " &amp; esg_final[[#This Row],[historia_zmian.id_zmiany]]</f>
        <v xml:space="preserve">A_X999_01_v1 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88E7C-EFE4-4C49-BEB1-9772A640DB88}">
  <dimension ref="A1:D31"/>
  <sheetViews>
    <sheetView workbookViewId="0"/>
  </sheetViews>
  <sheetFormatPr defaultRowHeight="15" x14ac:dyDescent="0.25"/>
  <cols>
    <col min="1" max="1" width="10.140625" bestFit="1" customWidth="1"/>
    <col min="2" max="2" width="10.28515625" bestFit="1" customWidth="1"/>
    <col min="3" max="4" width="13.7109375" bestFit="1" customWidth="1"/>
  </cols>
  <sheetData>
    <row r="1" spans="1:4" x14ac:dyDescent="0.25">
      <c r="A1" t="s">
        <v>265</v>
      </c>
      <c r="B1" t="s">
        <v>282</v>
      </c>
      <c r="C1" t="s">
        <v>283</v>
      </c>
      <c r="D1" t="s">
        <v>284</v>
      </c>
    </row>
    <row r="2" spans="1:4" x14ac:dyDescent="0.25">
      <c r="A2" s="1" t="s">
        <v>15</v>
      </c>
      <c r="B2" s="1" t="s">
        <v>285</v>
      </c>
      <c r="C2" s="1" t="s">
        <v>377</v>
      </c>
      <c r="D2" s="1" t="s">
        <v>318</v>
      </c>
    </row>
    <row r="3" spans="1:4" x14ac:dyDescent="0.25">
      <c r="A3" s="1" t="s">
        <v>10</v>
      </c>
      <c r="B3" s="1" t="s">
        <v>286</v>
      </c>
      <c r="C3" s="1" t="s">
        <v>377</v>
      </c>
      <c r="D3" s="1" t="s">
        <v>318</v>
      </c>
    </row>
    <row r="4" spans="1:4" x14ac:dyDescent="0.25">
      <c r="A4" s="1" t="s">
        <v>32</v>
      </c>
      <c r="B4" s="1" t="s">
        <v>287</v>
      </c>
      <c r="C4" s="1" t="s">
        <v>377</v>
      </c>
      <c r="D4" s="1" t="s">
        <v>318</v>
      </c>
    </row>
    <row r="5" spans="1:4" x14ac:dyDescent="0.25">
      <c r="A5" s="1" t="s">
        <v>39</v>
      </c>
      <c r="B5" s="1" t="s">
        <v>288</v>
      </c>
      <c r="C5" s="1" t="s">
        <v>377</v>
      </c>
      <c r="D5" s="1" t="s">
        <v>318</v>
      </c>
    </row>
    <row r="6" spans="1:4" x14ac:dyDescent="0.25">
      <c r="A6" s="1" t="s">
        <v>49</v>
      </c>
      <c r="B6" s="1" t="s">
        <v>289</v>
      </c>
      <c r="C6" s="1" t="s">
        <v>377</v>
      </c>
      <c r="D6" s="1" t="s">
        <v>318</v>
      </c>
    </row>
    <row r="7" spans="1:4" x14ac:dyDescent="0.25">
      <c r="A7" s="1" t="s">
        <v>59</v>
      </c>
      <c r="B7" s="1" t="s">
        <v>290</v>
      </c>
      <c r="C7" s="1" t="s">
        <v>377</v>
      </c>
      <c r="D7" s="1" t="s">
        <v>318</v>
      </c>
    </row>
    <row r="8" spans="1:4" x14ac:dyDescent="0.25">
      <c r="A8" s="1" t="s">
        <v>69</v>
      </c>
      <c r="B8" s="1" t="s">
        <v>291</v>
      </c>
      <c r="C8" s="1" t="s">
        <v>377</v>
      </c>
      <c r="D8" s="1" t="s">
        <v>318</v>
      </c>
    </row>
    <row r="9" spans="1:4" x14ac:dyDescent="0.25">
      <c r="A9" s="1" t="s">
        <v>79</v>
      </c>
      <c r="B9" s="1" t="s">
        <v>292</v>
      </c>
      <c r="C9" s="1" t="s">
        <v>377</v>
      </c>
      <c r="D9" s="1" t="s">
        <v>318</v>
      </c>
    </row>
    <row r="10" spans="1:4" x14ac:dyDescent="0.25">
      <c r="A10" s="1" t="s">
        <v>293</v>
      </c>
      <c r="B10" s="1" t="s">
        <v>294</v>
      </c>
      <c r="C10" s="1" t="s">
        <v>377</v>
      </c>
      <c r="D10" s="1" t="s">
        <v>318</v>
      </c>
    </row>
    <row r="11" spans="1:4" x14ac:dyDescent="0.25">
      <c r="A11" s="1" t="s">
        <v>100</v>
      </c>
      <c r="B11" s="1" t="s">
        <v>295</v>
      </c>
      <c r="C11" s="1" t="s">
        <v>377</v>
      </c>
      <c r="D11" s="1" t="s">
        <v>318</v>
      </c>
    </row>
    <row r="12" spans="1:4" x14ac:dyDescent="0.25">
      <c r="A12" s="1" t="s">
        <v>110</v>
      </c>
      <c r="B12" s="1" t="s">
        <v>296</v>
      </c>
      <c r="C12" s="1" t="s">
        <v>377</v>
      </c>
      <c r="D12" s="1" t="s">
        <v>318</v>
      </c>
    </row>
    <row r="13" spans="1:4" x14ac:dyDescent="0.25">
      <c r="A13" s="1" t="s">
        <v>117</v>
      </c>
      <c r="B13" s="1" t="s">
        <v>297</v>
      </c>
      <c r="C13" s="1" t="s">
        <v>377</v>
      </c>
      <c r="D13" s="1" t="s">
        <v>318</v>
      </c>
    </row>
    <row r="14" spans="1:4" x14ac:dyDescent="0.25">
      <c r="A14" s="1" t="s">
        <v>127</v>
      </c>
      <c r="B14" s="1" t="s">
        <v>298</v>
      </c>
      <c r="C14" s="1" t="s">
        <v>377</v>
      </c>
      <c r="D14" s="1" t="s">
        <v>318</v>
      </c>
    </row>
    <row r="15" spans="1:4" x14ac:dyDescent="0.25">
      <c r="A15" s="1" t="s">
        <v>137</v>
      </c>
      <c r="B15" s="1" t="s">
        <v>299</v>
      </c>
      <c r="C15" s="1" t="s">
        <v>377</v>
      </c>
      <c r="D15" s="1" t="s">
        <v>318</v>
      </c>
    </row>
    <row r="16" spans="1:4" x14ac:dyDescent="0.25">
      <c r="A16" s="1" t="s">
        <v>147</v>
      </c>
      <c r="B16" s="1" t="s">
        <v>300</v>
      </c>
      <c r="C16" s="1" t="s">
        <v>377</v>
      </c>
      <c r="D16" s="1" t="s">
        <v>318</v>
      </c>
    </row>
    <row r="17" spans="1:4" x14ac:dyDescent="0.25">
      <c r="A17" s="1" t="s">
        <v>163</v>
      </c>
      <c r="B17" s="1" t="s">
        <v>301</v>
      </c>
      <c r="C17" s="1" t="s">
        <v>377</v>
      </c>
      <c r="D17" s="1" t="s">
        <v>318</v>
      </c>
    </row>
    <row r="18" spans="1:4" x14ac:dyDescent="0.25">
      <c r="A18" s="1" t="s">
        <v>171</v>
      </c>
      <c r="B18" s="1" t="s">
        <v>302</v>
      </c>
      <c r="C18" s="1" t="s">
        <v>377</v>
      </c>
      <c r="D18" s="1" t="s">
        <v>318</v>
      </c>
    </row>
    <row r="19" spans="1:4" x14ac:dyDescent="0.25">
      <c r="A19" s="1" t="s">
        <v>178</v>
      </c>
      <c r="B19" s="1" t="s">
        <v>303</v>
      </c>
      <c r="C19" s="1" t="s">
        <v>377</v>
      </c>
      <c r="D19" s="1" t="s">
        <v>318</v>
      </c>
    </row>
    <row r="20" spans="1:4" x14ac:dyDescent="0.25">
      <c r="A20" s="1" t="s">
        <v>183</v>
      </c>
      <c r="B20" s="1" t="s">
        <v>304</v>
      </c>
      <c r="C20" s="1" t="s">
        <v>377</v>
      </c>
      <c r="D20" s="1" t="s">
        <v>318</v>
      </c>
    </row>
    <row r="21" spans="1:4" x14ac:dyDescent="0.25">
      <c r="A21" s="1" t="s">
        <v>190</v>
      </c>
      <c r="B21" s="1" t="s">
        <v>305</v>
      </c>
      <c r="C21" s="1" t="s">
        <v>377</v>
      </c>
      <c r="D21" s="1" t="s">
        <v>318</v>
      </c>
    </row>
    <row r="22" spans="1:4" x14ac:dyDescent="0.25">
      <c r="A22" s="1" t="s">
        <v>306</v>
      </c>
      <c r="B22" s="1" t="s">
        <v>307</v>
      </c>
      <c r="C22" s="1" t="s">
        <v>377</v>
      </c>
      <c r="D22" s="1" t="s">
        <v>318</v>
      </c>
    </row>
    <row r="23" spans="1:4" x14ac:dyDescent="0.25">
      <c r="A23" s="1" t="s">
        <v>204</v>
      </c>
      <c r="B23" s="1" t="s">
        <v>308</v>
      </c>
      <c r="C23" s="1" t="s">
        <v>377</v>
      </c>
      <c r="D23" s="1" t="s">
        <v>318</v>
      </c>
    </row>
    <row r="24" spans="1:4" x14ac:dyDescent="0.25">
      <c r="A24" s="1" t="s">
        <v>155</v>
      </c>
      <c r="B24" s="1" t="s">
        <v>309</v>
      </c>
      <c r="C24" s="1" t="s">
        <v>377</v>
      </c>
      <c r="D24" s="1" t="s">
        <v>318</v>
      </c>
    </row>
    <row r="25" spans="1:4" x14ac:dyDescent="0.25">
      <c r="A25" s="1" t="s">
        <v>217</v>
      </c>
      <c r="B25" s="1" t="s">
        <v>310</v>
      </c>
      <c r="C25" s="1" t="s">
        <v>377</v>
      </c>
      <c r="D25" s="1" t="s">
        <v>318</v>
      </c>
    </row>
    <row r="26" spans="1:4" x14ac:dyDescent="0.25">
      <c r="A26" s="1" t="s">
        <v>224</v>
      </c>
      <c r="B26" s="1" t="s">
        <v>311</v>
      </c>
      <c r="C26" s="1" t="s">
        <v>377</v>
      </c>
      <c r="D26" s="1" t="s">
        <v>318</v>
      </c>
    </row>
    <row r="27" spans="1:4" x14ac:dyDescent="0.25">
      <c r="A27" s="1" t="s">
        <v>229</v>
      </c>
      <c r="B27" s="1" t="s">
        <v>312</v>
      </c>
      <c r="C27" s="1" t="s">
        <v>377</v>
      </c>
      <c r="D27" s="1" t="s">
        <v>318</v>
      </c>
    </row>
    <row r="28" spans="1:4" x14ac:dyDescent="0.25">
      <c r="A28" s="1" t="s">
        <v>236</v>
      </c>
      <c r="B28" s="1" t="s">
        <v>313</v>
      </c>
      <c r="C28" s="1" t="s">
        <v>377</v>
      </c>
      <c r="D28" s="1" t="s">
        <v>318</v>
      </c>
    </row>
    <row r="29" spans="1:4" x14ac:dyDescent="0.25">
      <c r="A29" s="1" t="s">
        <v>243</v>
      </c>
      <c r="B29" s="1" t="s">
        <v>314</v>
      </c>
      <c r="C29" s="1" t="s">
        <v>377</v>
      </c>
      <c r="D29" s="1" t="s">
        <v>318</v>
      </c>
    </row>
    <row r="30" spans="1:4" x14ac:dyDescent="0.25">
      <c r="A30" s="1" t="s">
        <v>250</v>
      </c>
      <c r="B30" s="1" t="s">
        <v>315</v>
      </c>
      <c r="C30" s="1" t="s">
        <v>377</v>
      </c>
      <c r="D30" s="1" t="s">
        <v>368</v>
      </c>
    </row>
    <row r="31" spans="1:4" x14ac:dyDescent="0.25">
      <c r="A31" s="1" t="s">
        <v>257</v>
      </c>
      <c r="B31" s="1" t="s">
        <v>316</v>
      </c>
      <c r="C31" s="1" t="s">
        <v>368</v>
      </c>
      <c r="D31" s="1" t="s">
        <v>318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6044E-6F6C-48F9-AE4E-1679906338FE}">
  <dimension ref="A1:G6"/>
  <sheetViews>
    <sheetView workbookViewId="0"/>
  </sheetViews>
  <sheetFormatPr defaultRowHeight="15" x14ac:dyDescent="0.25"/>
  <cols>
    <col min="1" max="1" width="12.140625" bestFit="1" customWidth="1"/>
    <col min="2" max="2" width="10.140625" bestFit="1" customWidth="1"/>
    <col min="3" max="3" width="10.28515625" bestFit="1" customWidth="1"/>
    <col min="4" max="4" width="11" bestFit="1" customWidth="1"/>
    <col min="5" max="5" width="14.7109375" bestFit="1" customWidth="1"/>
    <col min="6" max="6" width="14.28515625" bestFit="1" customWidth="1"/>
    <col min="7" max="7" width="47.42578125" bestFit="1" customWidth="1"/>
  </cols>
  <sheetData>
    <row r="1" spans="1:7" x14ac:dyDescent="0.25">
      <c r="A1" t="s">
        <v>264</v>
      </c>
      <c r="B1" t="s">
        <v>265</v>
      </c>
      <c r="C1" t="s">
        <v>266</v>
      </c>
      <c r="D1" t="s">
        <v>267</v>
      </c>
      <c r="E1" t="s">
        <v>268</v>
      </c>
      <c r="F1" t="s">
        <v>269</v>
      </c>
      <c r="G1" t="s">
        <v>270</v>
      </c>
    </row>
    <row r="2" spans="1:7" x14ac:dyDescent="0.25">
      <c r="A2" s="1" t="s">
        <v>271</v>
      </c>
      <c r="B2" s="1" t="s">
        <v>39</v>
      </c>
      <c r="C2" s="1" t="s">
        <v>368</v>
      </c>
      <c r="D2" s="1" t="s">
        <v>272</v>
      </c>
      <c r="E2" s="1" t="s">
        <v>63</v>
      </c>
      <c r="F2" s="1" t="s">
        <v>372</v>
      </c>
      <c r="G2" s="1" t="s">
        <v>273</v>
      </c>
    </row>
    <row r="3" spans="1:7" x14ac:dyDescent="0.25">
      <c r="A3" s="1" t="s">
        <v>274</v>
      </c>
      <c r="B3" s="1" t="s">
        <v>79</v>
      </c>
      <c r="C3" s="1" t="s">
        <v>369</v>
      </c>
      <c r="D3" s="1" t="s">
        <v>275</v>
      </c>
      <c r="E3" s="1" t="s">
        <v>373</v>
      </c>
      <c r="F3" s="1" t="s">
        <v>372</v>
      </c>
      <c r="G3" s="1" t="s">
        <v>276</v>
      </c>
    </row>
    <row r="4" spans="1:7" x14ac:dyDescent="0.25">
      <c r="A4" s="1" t="s">
        <v>277</v>
      </c>
      <c r="B4" s="1" t="s">
        <v>147</v>
      </c>
      <c r="C4" s="1" t="s">
        <v>368</v>
      </c>
      <c r="D4" s="1" t="s">
        <v>275</v>
      </c>
      <c r="E4" s="1" t="s">
        <v>374</v>
      </c>
      <c r="F4" s="1" t="s">
        <v>372</v>
      </c>
      <c r="G4" s="1" t="s">
        <v>278</v>
      </c>
    </row>
    <row r="5" spans="1:7" x14ac:dyDescent="0.25">
      <c r="A5" s="1" t="s">
        <v>279</v>
      </c>
      <c r="B5" s="1" t="s">
        <v>117</v>
      </c>
      <c r="C5" s="1" t="s">
        <v>363</v>
      </c>
      <c r="D5" s="1" t="s">
        <v>275</v>
      </c>
      <c r="E5" s="1" t="s">
        <v>375</v>
      </c>
      <c r="F5" s="1" t="s">
        <v>372</v>
      </c>
      <c r="G5" s="1" t="s">
        <v>280</v>
      </c>
    </row>
    <row r="6" spans="1:7" x14ac:dyDescent="0.25">
      <c r="A6" s="1" t="s">
        <v>281</v>
      </c>
      <c r="B6" s="1" t="s">
        <v>224</v>
      </c>
      <c r="C6" s="1" t="s">
        <v>368</v>
      </c>
      <c r="D6" s="1" t="s">
        <v>272</v>
      </c>
      <c r="E6" s="1" t="s">
        <v>376</v>
      </c>
      <c r="F6" s="1" t="s">
        <v>372</v>
      </c>
      <c r="G6" s="1" t="s">
        <v>273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2E1EC-0537-48B0-A64A-19C43E075ECA}">
  <dimension ref="A1:H46"/>
  <sheetViews>
    <sheetView topLeftCell="A12" workbookViewId="0">
      <selection activeCell="A46" sqref="A46"/>
    </sheetView>
  </sheetViews>
  <sheetFormatPr defaultRowHeight="15" x14ac:dyDescent="0.25"/>
  <cols>
    <col min="1" max="1" width="12.5703125" bestFit="1" customWidth="1"/>
    <col min="2" max="2" width="12.85546875" bestFit="1" customWidth="1"/>
    <col min="3" max="3" width="15" bestFit="1" customWidth="1"/>
    <col min="4" max="4" width="8.28515625" bestFit="1" customWidth="1"/>
    <col min="5" max="5" width="9.85546875" bestFit="1" customWidth="1"/>
    <col min="6" max="6" width="12.140625" bestFit="1" customWidth="1"/>
    <col min="8" max="8" width="18.85546875" bestFit="1" customWidth="1"/>
    <col min="9" max="9" width="12.42578125" bestFit="1" customWidth="1"/>
    <col min="10" max="10" width="12.5703125" bestFit="1" customWidth="1"/>
    <col min="11" max="11" width="14.7109375" bestFit="1" customWidth="1"/>
    <col min="12" max="12" width="10.140625" bestFit="1" customWidth="1"/>
    <col min="13" max="13" width="15.140625" bestFit="1" customWidth="1"/>
    <col min="14" max="14" width="13.85546875" bestFit="1" customWidth="1"/>
    <col min="15" max="15" width="13.7109375" bestFit="1" customWidth="1"/>
    <col min="16" max="16" width="15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161</v>
      </c>
      <c r="B2" s="1" t="s">
        <v>162</v>
      </c>
      <c r="C2" s="1" t="s">
        <v>163</v>
      </c>
      <c r="D2" s="1" t="s">
        <v>369</v>
      </c>
      <c r="E2" s="1" t="s">
        <v>321</v>
      </c>
      <c r="F2" s="1" t="s">
        <v>12</v>
      </c>
      <c r="G2" s="1" t="s">
        <v>364</v>
      </c>
      <c r="H2" s="1" t="s">
        <v>365</v>
      </c>
    </row>
    <row r="3" spans="1:8" x14ac:dyDescent="0.25">
      <c r="A3" s="1" t="s">
        <v>164</v>
      </c>
      <c r="B3" s="1" t="s">
        <v>165</v>
      </c>
      <c r="C3" s="1" t="s">
        <v>163</v>
      </c>
      <c r="D3" s="1" t="s">
        <v>363</v>
      </c>
      <c r="E3" s="1" t="s">
        <v>320</v>
      </c>
      <c r="F3" s="1" t="s">
        <v>12</v>
      </c>
      <c r="G3" s="1" t="s">
        <v>366</v>
      </c>
      <c r="H3" s="1" t="s">
        <v>367</v>
      </c>
    </row>
    <row r="4" spans="1:8" x14ac:dyDescent="0.25">
      <c r="A4" s="1" t="s">
        <v>166</v>
      </c>
      <c r="B4" s="1" t="s">
        <v>167</v>
      </c>
      <c r="C4" s="1" t="s">
        <v>163</v>
      </c>
      <c r="D4" s="1" t="s">
        <v>368</v>
      </c>
      <c r="E4" s="1" t="s">
        <v>321</v>
      </c>
      <c r="F4" s="1" t="s">
        <v>12</v>
      </c>
      <c r="G4" s="1" t="s">
        <v>366</v>
      </c>
      <c r="H4" s="1" t="s">
        <v>367</v>
      </c>
    </row>
    <row r="5" spans="1:8" x14ac:dyDescent="0.25">
      <c r="A5" s="1" t="s">
        <v>168</v>
      </c>
      <c r="B5" s="1" t="s">
        <v>162</v>
      </c>
      <c r="C5" s="1" t="s">
        <v>163</v>
      </c>
      <c r="D5" s="1" t="s">
        <v>369</v>
      </c>
      <c r="E5" s="1" t="s">
        <v>322</v>
      </c>
      <c r="F5" s="1" t="s">
        <v>12</v>
      </c>
      <c r="G5" s="1" t="s">
        <v>366</v>
      </c>
      <c r="H5" s="1" t="s">
        <v>367</v>
      </c>
    </row>
    <row r="6" spans="1:8" x14ac:dyDescent="0.25">
      <c r="A6" s="1" t="s">
        <v>169</v>
      </c>
      <c r="B6" s="1" t="s">
        <v>170</v>
      </c>
      <c r="C6" s="1" t="s">
        <v>171</v>
      </c>
      <c r="D6" s="1" t="s">
        <v>363</v>
      </c>
      <c r="E6" s="1" t="s">
        <v>323</v>
      </c>
      <c r="F6" s="1" t="s">
        <v>12</v>
      </c>
      <c r="G6" s="1" t="s">
        <v>366</v>
      </c>
      <c r="H6" s="1" t="s">
        <v>367</v>
      </c>
    </row>
    <row r="7" spans="1:8" x14ac:dyDescent="0.25">
      <c r="A7" s="1" t="s">
        <v>172</v>
      </c>
      <c r="B7" s="1" t="s">
        <v>173</v>
      </c>
      <c r="C7" s="1" t="s">
        <v>171</v>
      </c>
      <c r="D7" s="1" t="s">
        <v>368</v>
      </c>
      <c r="E7" s="1" t="s">
        <v>324</v>
      </c>
      <c r="F7" s="1" t="s">
        <v>12</v>
      </c>
      <c r="G7" s="1" t="s">
        <v>366</v>
      </c>
      <c r="H7" s="1" t="s">
        <v>367</v>
      </c>
    </row>
    <row r="8" spans="1:8" x14ac:dyDescent="0.25">
      <c r="A8" s="1" t="s">
        <v>174</v>
      </c>
      <c r="B8" s="1" t="s">
        <v>175</v>
      </c>
      <c r="C8" s="1" t="s">
        <v>171</v>
      </c>
      <c r="D8" s="1" t="s">
        <v>369</v>
      </c>
      <c r="E8" s="1" t="s">
        <v>325</v>
      </c>
      <c r="F8" s="1" t="s">
        <v>12</v>
      </c>
      <c r="G8" s="1" t="s">
        <v>366</v>
      </c>
      <c r="H8" s="1" t="s">
        <v>367</v>
      </c>
    </row>
    <row r="9" spans="1:8" x14ac:dyDescent="0.25">
      <c r="A9" s="1" t="s">
        <v>176</v>
      </c>
      <c r="B9" s="1" t="s">
        <v>177</v>
      </c>
      <c r="C9" s="1" t="s">
        <v>178</v>
      </c>
      <c r="D9" s="1" t="s">
        <v>363</v>
      </c>
      <c r="E9" s="1" t="s">
        <v>326</v>
      </c>
      <c r="F9" s="1" t="s">
        <v>12</v>
      </c>
      <c r="G9" s="1" t="s">
        <v>366</v>
      </c>
      <c r="H9" s="1" t="s">
        <v>367</v>
      </c>
    </row>
    <row r="10" spans="1:8" x14ac:dyDescent="0.25">
      <c r="A10" s="1" t="s">
        <v>179</v>
      </c>
      <c r="B10" s="1" t="s">
        <v>180</v>
      </c>
      <c r="C10" s="1" t="s">
        <v>178</v>
      </c>
      <c r="D10" s="1" t="s">
        <v>368</v>
      </c>
      <c r="E10" s="1" t="s">
        <v>327</v>
      </c>
      <c r="F10" s="1" t="s">
        <v>12</v>
      </c>
      <c r="G10" s="1" t="s">
        <v>366</v>
      </c>
      <c r="H10" s="1" t="s">
        <v>367</v>
      </c>
    </row>
    <row r="11" spans="1:8" x14ac:dyDescent="0.25">
      <c r="A11" s="1" t="s">
        <v>181</v>
      </c>
      <c r="B11" s="1" t="s">
        <v>182</v>
      </c>
      <c r="C11" s="1" t="s">
        <v>183</v>
      </c>
      <c r="D11" s="1" t="s">
        <v>363</v>
      </c>
      <c r="E11" s="1" t="s">
        <v>328</v>
      </c>
      <c r="F11" s="1" t="s">
        <v>12</v>
      </c>
      <c r="G11" s="1" t="s">
        <v>366</v>
      </c>
      <c r="H11" s="1" t="s">
        <v>367</v>
      </c>
    </row>
    <row r="12" spans="1:8" x14ac:dyDescent="0.25">
      <c r="A12" s="1" t="s">
        <v>184</v>
      </c>
      <c r="B12" s="1" t="s">
        <v>185</v>
      </c>
      <c r="C12" s="1" t="s">
        <v>183</v>
      </c>
      <c r="D12" s="1" t="s">
        <v>368</v>
      </c>
      <c r="E12" s="1" t="s">
        <v>329</v>
      </c>
      <c r="F12" s="1" t="s">
        <v>12</v>
      </c>
      <c r="G12" s="1" t="s">
        <v>366</v>
      </c>
      <c r="H12" s="1" t="s">
        <v>367</v>
      </c>
    </row>
    <row r="13" spans="1:8" x14ac:dyDescent="0.25">
      <c r="A13" s="1" t="s">
        <v>186</v>
      </c>
      <c r="B13" s="1" t="s">
        <v>187</v>
      </c>
      <c r="C13" s="1" t="s">
        <v>183</v>
      </c>
      <c r="D13" s="1" t="s">
        <v>369</v>
      </c>
      <c r="E13" s="1" t="s">
        <v>370</v>
      </c>
      <c r="F13" s="1" t="s">
        <v>91</v>
      </c>
      <c r="G13" s="1" t="s">
        <v>366</v>
      </c>
      <c r="H13" s="1" t="s">
        <v>367</v>
      </c>
    </row>
    <row r="14" spans="1:8" x14ac:dyDescent="0.25">
      <c r="A14" s="1" t="s">
        <v>188</v>
      </c>
      <c r="B14" s="1" t="s">
        <v>189</v>
      </c>
      <c r="C14" s="1" t="s">
        <v>190</v>
      </c>
      <c r="D14" s="1" t="s">
        <v>363</v>
      </c>
      <c r="E14" s="1" t="s">
        <v>331</v>
      </c>
      <c r="F14" s="1" t="s">
        <v>12</v>
      </c>
      <c r="G14" s="1" t="s">
        <v>366</v>
      </c>
      <c r="H14" s="1" t="s">
        <v>367</v>
      </c>
    </row>
    <row r="15" spans="1:8" x14ac:dyDescent="0.25">
      <c r="A15" s="1" t="s">
        <v>191</v>
      </c>
      <c r="B15" s="1" t="s">
        <v>192</v>
      </c>
      <c r="C15" s="1" t="s">
        <v>190</v>
      </c>
      <c r="D15" s="1" t="s">
        <v>368</v>
      </c>
      <c r="E15" s="1" t="s">
        <v>332</v>
      </c>
      <c r="F15" s="1" t="s">
        <v>12</v>
      </c>
      <c r="G15" s="1" t="s">
        <v>366</v>
      </c>
      <c r="H15" s="1" t="s">
        <v>367</v>
      </c>
    </row>
    <row r="16" spans="1:8" x14ac:dyDescent="0.25">
      <c r="A16" s="1" t="s">
        <v>193</v>
      </c>
      <c r="B16" s="1" t="s">
        <v>194</v>
      </c>
      <c r="C16" s="1" t="s">
        <v>190</v>
      </c>
      <c r="D16" s="1" t="s">
        <v>369</v>
      </c>
      <c r="E16" s="1" t="s">
        <v>333</v>
      </c>
      <c r="F16" s="1" t="s">
        <v>12</v>
      </c>
      <c r="G16" s="1" t="s">
        <v>366</v>
      </c>
      <c r="H16" s="1" t="s">
        <v>367</v>
      </c>
    </row>
    <row r="17" spans="1:8" x14ac:dyDescent="0.25">
      <c r="A17" s="1" t="s">
        <v>195</v>
      </c>
      <c r="B17" s="1" t="s">
        <v>196</v>
      </c>
      <c r="C17" s="1" t="s">
        <v>197</v>
      </c>
      <c r="D17" s="1" t="s">
        <v>363</v>
      </c>
      <c r="E17" s="1" t="s">
        <v>334</v>
      </c>
      <c r="F17" s="1" t="s">
        <v>12</v>
      </c>
      <c r="G17" s="1" t="s">
        <v>366</v>
      </c>
      <c r="H17" s="1" t="s">
        <v>367</v>
      </c>
    </row>
    <row r="18" spans="1:8" x14ac:dyDescent="0.25">
      <c r="A18" s="1" t="s">
        <v>198</v>
      </c>
      <c r="B18" s="1" t="s">
        <v>199</v>
      </c>
      <c r="C18" s="1" t="s">
        <v>197</v>
      </c>
      <c r="D18" s="1" t="s">
        <v>368</v>
      </c>
      <c r="E18" s="1" t="s">
        <v>335</v>
      </c>
      <c r="F18" s="1" t="s">
        <v>12</v>
      </c>
      <c r="G18" s="1" t="s">
        <v>366</v>
      </c>
      <c r="H18" s="1" t="s">
        <v>367</v>
      </c>
    </row>
    <row r="19" spans="1:8" x14ac:dyDescent="0.25">
      <c r="A19" s="1" t="s">
        <v>200</v>
      </c>
      <c r="B19" s="1" t="s">
        <v>201</v>
      </c>
      <c r="C19" s="1" t="s">
        <v>197</v>
      </c>
      <c r="D19" s="1" t="s">
        <v>369</v>
      </c>
      <c r="E19" s="1" t="s">
        <v>336</v>
      </c>
      <c r="F19" s="1" t="s">
        <v>12</v>
      </c>
      <c r="G19" s="1" t="s">
        <v>366</v>
      </c>
      <c r="H19" s="1" t="s">
        <v>367</v>
      </c>
    </row>
    <row r="20" spans="1:8" x14ac:dyDescent="0.25">
      <c r="A20" s="1" t="s">
        <v>202</v>
      </c>
      <c r="B20" s="1" t="s">
        <v>203</v>
      </c>
      <c r="C20" s="1" t="s">
        <v>204</v>
      </c>
      <c r="D20" s="1" t="s">
        <v>363</v>
      </c>
      <c r="E20" s="1" t="s">
        <v>337</v>
      </c>
      <c r="F20" s="1" t="s">
        <v>12</v>
      </c>
      <c r="G20" s="1" t="s">
        <v>366</v>
      </c>
      <c r="H20" s="1" t="s">
        <v>367</v>
      </c>
    </row>
    <row r="21" spans="1:8" x14ac:dyDescent="0.25">
      <c r="A21" s="1" t="s">
        <v>205</v>
      </c>
      <c r="B21" s="1" t="s">
        <v>206</v>
      </c>
      <c r="C21" s="1" t="s">
        <v>204</v>
      </c>
      <c r="D21" s="1" t="s">
        <v>368</v>
      </c>
      <c r="E21" s="1" t="s">
        <v>338</v>
      </c>
      <c r="F21" s="1" t="s">
        <v>12</v>
      </c>
      <c r="G21" s="1" t="s">
        <v>366</v>
      </c>
      <c r="H21" s="1" t="s">
        <v>367</v>
      </c>
    </row>
    <row r="22" spans="1:8" x14ac:dyDescent="0.25">
      <c r="A22" s="1" t="s">
        <v>207</v>
      </c>
      <c r="B22" s="1" t="s">
        <v>208</v>
      </c>
      <c r="C22" s="1" t="s">
        <v>204</v>
      </c>
      <c r="D22" s="1" t="s">
        <v>369</v>
      </c>
      <c r="E22" s="1" t="s">
        <v>339</v>
      </c>
      <c r="F22" s="1" t="s">
        <v>12</v>
      </c>
      <c r="G22" s="1" t="s">
        <v>366</v>
      </c>
      <c r="H22" s="1" t="s">
        <v>367</v>
      </c>
    </row>
    <row r="23" spans="1:8" x14ac:dyDescent="0.25">
      <c r="A23" s="1" t="s">
        <v>209</v>
      </c>
      <c r="B23" s="1" t="s">
        <v>210</v>
      </c>
      <c r="C23" s="1" t="s">
        <v>155</v>
      </c>
      <c r="D23" s="1" t="s">
        <v>363</v>
      </c>
      <c r="E23" s="1" t="s">
        <v>340</v>
      </c>
      <c r="F23" s="1" t="s">
        <v>12</v>
      </c>
      <c r="G23" s="1" t="s">
        <v>366</v>
      </c>
      <c r="H23" s="1" t="s">
        <v>367</v>
      </c>
    </row>
    <row r="24" spans="1:8" x14ac:dyDescent="0.25">
      <c r="A24" s="1" t="s">
        <v>211</v>
      </c>
      <c r="B24" s="1" t="s">
        <v>212</v>
      </c>
      <c r="C24" s="1" t="s">
        <v>155</v>
      </c>
      <c r="D24" s="1" t="s">
        <v>368</v>
      </c>
      <c r="E24" s="1" t="s">
        <v>341</v>
      </c>
      <c r="F24" s="1" t="s">
        <v>12</v>
      </c>
      <c r="G24" s="1" t="s">
        <v>366</v>
      </c>
      <c r="H24" s="1" t="s">
        <v>367</v>
      </c>
    </row>
    <row r="25" spans="1:8" x14ac:dyDescent="0.25">
      <c r="A25" s="1" t="s">
        <v>213</v>
      </c>
      <c r="B25" s="1" t="s">
        <v>214</v>
      </c>
      <c r="C25" s="1" t="s">
        <v>155</v>
      </c>
      <c r="D25" s="1" t="s">
        <v>369</v>
      </c>
      <c r="E25" s="1" t="s">
        <v>342</v>
      </c>
      <c r="F25" s="1" t="s">
        <v>12</v>
      </c>
      <c r="G25" s="1" t="s">
        <v>366</v>
      </c>
      <c r="H25" s="1" t="s">
        <v>367</v>
      </c>
    </row>
    <row r="26" spans="1:8" x14ac:dyDescent="0.25">
      <c r="A26" s="1" t="s">
        <v>215</v>
      </c>
      <c r="B26" s="1" t="s">
        <v>216</v>
      </c>
      <c r="C26" s="1" t="s">
        <v>217</v>
      </c>
      <c r="D26" s="1" t="s">
        <v>363</v>
      </c>
      <c r="E26" s="1" t="s">
        <v>343</v>
      </c>
      <c r="F26" s="1" t="s">
        <v>12</v>
      </c>
      <c r="G26" s="1" t="s">
        <v>366</v>
      </c>
      <c r="H26" s="1" t="s">
        <v>367</v>
      </c>
    </row>
    <row r="27" spans="1:8" x14ac:dyDescent="0.25">
      <c r="A27" s="1" t="s">
        <v>218</v>
      </c>
      <c r="B27" s="1" t="s">
        <v>219</v>
      </c>
      <c r="C27" s="1" t="s">
        <v>217</v>
      </c>
      <c r="D27" s="1" t="s">
        <v>368</v>
      </c>
      <c r="E27" s="1" t="s">
        <v>344</v>
      </c>
      <c r="F27" s="1" t="s">
        <v>12</v>
      </c>
      <c r="G27" s="1" t="s">
        <v>366</v>
      </c>
      <c r="H27" s="1" t="s">
        <v>367</v>
      </c>
    </row>
    <row r="28" spans="1:8" x14ac:dyDescent="0.25">
      <c r="A28" s="1" t="s">
        <v>220</v>
      </c>
      <c r="B28" s="1" t="s">
        <v>221</v>
      </c>
      <c r="C28" s="1" t="s">
        <v>217</v>
      </c>
      <c r="D28" s="1" t="s">
        <v>369</v>
      </c>
      <c r="E28" s="1" t="s">
        <v>345</v>
      </c>
      <c r="F28" s="1" t="s">
        <v>12</v>
      </c>
      <c r="G28" s="1" t="s">
        <v>366</v>
      </c>
      <c r="H28" s="1" t="s">
        <v>367</v>
      </c>
    </row>
    <row r="29" spans="1:8" x14ac:dyDescent="0.25">
      <c r="A29" s="1" t="s">
        <v>222</v>
      </c>
      <c r="B29" s="1" t="s">
        <v>223</v>
      </c>
      <c r="C29" s="1" t="s">
        <v>224</v>
      </c>
      <c r="D29" s="1" t="s">
        <v>363</v>
      </c>
      <c r="E29" s="1" t="s">
        <v>346</v>
      </c>
      <c r="F29" s="1" t="s">
        <v>12</v>
      </c>
      <c r="G29" s="1" t="s">
        <v>366</v>
      </c>
      <c r="H29" s="1" t="s">
        <v>367</v>
      </c>
    </row>
    <row r="30" spans="1:8" x14ac:dyDescent="0.25">
      <c r="A30" s="1" t="s">
        <v>225</v>
      </c>
      <c r="B30" s="1" t="s">
        <v>226</v>
      </c>
      <c r="C30" s="1" t="s">
        <v>224</v>
      </c>
      <c r="D30" s="1" t="s">
        <v>369</v>
      </c>
      <c r="E30" s="1" t="s">
        <v>347</v>
      </c>
      <c r="F30" s="1" t="s">
        <v>12</v>
      </c>
      <c r="G30" s="1" t="s">
        <v>366</v>
      </c>
      <c r="H30" s="1" t="s">
        <v>367</v>
      </c>
    </row>
    <row r="31" spans="1:8" x14ac:dyDescent="0.25">
      <c r="A31" s="1" t="s">
        <v>227</v>
      </c>
      <c r="B31" s="1" t="s">
        <v>228</v>
      </c>
      <c r="C31" s="1" t="s">
        <v>229</v>
      </c>
      <c r="D31" s="1" t="s">
        <v>363</v>
      </c>
      <c r="E31" s="1" t="s">
        <v>348</v>
      </c>
      <c r="F31" s="1" t="s">
        <v>12</v>
      </c>
      <c r="G31" s="1" t="s">
        <v>366</v>
      </c>
      <c r="H31" s="1" t="s">
        <v>367</v>
      </c>
    </row>
    <row r="32" spans="1:8" x14ac:dyDescent="0.25">
      <c r="A32" s="1" t="s">
        <v>230</v>
      </c>
      <c r="B32" s="1" t="s">
        <v>231</v>
      </c>
      <c r="C32" s="1" t="s">
        <v>229</v>
      </c>
      <c r="D32" s="1" t="s">
        <v>368</v>
      </c>
      <c r="E32" s="1" t="s">
        <v>349</v>
      </c>
      <c r="F32" s="1" t="s">
        <v>12</v>
      </c>
      <c r="G32" s="1" t="s">
        <v>366</v>
      </c>
      <c r="H32" s="1" t="s">
        <v>367</v>
      </c>
    </row>
    <row r="33" spans="1:8" x14ac:dyDescent="0.25">
      <c r="A33" s="1" t="s">
        <v>232</v>
      </c>
      <c r="B33" s="1" t="s">
        <v>233</v>
      </c>
      <c r="C33" s="1" t="s">
        <v>229</v>
      </c>
      <c r="D33" s="1" t="s">
        <v>369</v>
      </c>
      <c r="E33" s="1" t="s">
        <v>350</v>
      </c>
      <c r="F33" s="1" t="s">
        <v>12</v>
      </c>
      <c r="G33" s="1" t="s">
        <v>366</v>
      </c>
      <c r="H33" s="1" t="s">
        <v>367</v>
      </c>
    </row>
    <row r="34" spans="1:8" x14ac:dyDescent="0.25">
      <c r="A34" s="1" t="s">
        <v>234</v>
      </c>
      <c r="B34" s="1" t="s">
        <v>235</v>
      </c>
      <c r="C34" s="1" t="s">
        <v>236</v>
      </c>
      <c r="D34" s="1" t="s">
        <v>363</v>
      </c>
      <c r="E34" s="1" t="s">
        <v>351</v>
      </c>
      <c r="F34" s="1" t="s">
        <v>12</v>
      </c>
      <c r="G34" s="1" t="s">
        <v>366</v>
      </c>
      <c r="H34" s="1" t="s">
        <v>367</v>
      </c>
    </row>
    <row r="35" spans="1:8" x14ac:dyDescent="0.25">
      <c r="A35" s="1" t="s">
        <v>237</v>
      </c>
      <c r="B35" s="1" t="s">
        <v>238</v>
      </c>
      <c r="C35" s="1" t="s">
        <v>236</v>
      </c>
      <c r="D35" s="1" t="s">
        <v>368</v>
      </c>
      <c r="E35" s="1" t="s">
        <v>352</v>
      </c>
      <c r="F35" s="1" t="s">
        <v>12</v>
      </c>
      <c r="G35" s="1" t="s">
        <v>366</v>
      </c>
      <c r="H35" s="1" t="s">
        <v>367</v>
      </c>
    </row>
    <row r="36" spans="1:8" x14ac:dyDescent="0.25">
      <c r="A36" s="1" t="s">
        <v>239</v>
      </c>
      <c r="B36" s="1" t="s">
        <v>240</v>
      </c>
      <c r="C36" s="1" t="s">
        <v>236</v>
      </c>
      <c r="D36" s="1" t="s">
        <v>369</v>
      </c>
      <c r="E36" s="1" t="s">
        <v>353</v>
      </c>
      <c r="F36" s="1" t="s">
        <v>12</v>
      </c>
      <c r="G36" s="1" t="s">
        <v>366</v>
      </c>
      <c r="H36" s="1" t="s">
        <v>367</v>
      </c>
    </row>
    <row r="37" spans="1:8" x14ac:dyDescent="0.25">
      <c r="A37" s="1" t="s">
        <v>241</v>
      </c>
      <c r="B37" s="1" t="s">
        <v>242</v>
      </c>
      <c r="C37" s="1" t="s">
        <v>243</v>
      </c>
      <c r="D37" s="1" t="s">
        <v>363</v>
      </c>
      <c r="E37" s="1" t="s">
        <v>354</v>
      </c>
      <c r="F37" s="1" t="s">
        <v>12</v>
      </c>
      <c r="G37" s="1" t="s">
        <v>366</v>
      </c>
      <c r="H37" s="1" t="s">
        <v>367</v>
      </c>
    </row>
    <row r="38" spans="1:8" x14ac:dyDescent="0.25">
      <c r="A38" s="1" t="s">
        <v>244</v>
      </c>
      <c r="B38" s="1" t="s">
        <v>245</v>
      </c>
      <c r="C38" s="1" t="s">
        <v>243</v>
      </c>
      <c r="D38" s="1" t="s">
        <v>368</v>
      </c>
      <c r="E38" s="1" t="s">
        <v>355</v>
      </c>
      <c r="F38" s="1" t="s">
        <v>12</v>
      </c>
      <c r="G38" s="1" t="s">
        <v>366</v>
      </c>
      <c r="H38" s="1" t="s">
        <v>367</v>
      </c>
    </row>
    <row r="39" spans="1:8" x14ac:dyDescent="0.25">
      <c r="A39" s="1" t="s">
        <v>246</v>
      </c>
      <c r="B39" s="1" t="s">
        <v>247</v>
      </c>
      <c r="C39" s="1" t="s">
        <v>243</v>
      </c>
      <c r="D39" s="1" t="s">
        <v>369</v>
      </c>
      <c r="E39" s="1" t="s">
        <v>356</v>
      </c>
      <c r="F39" s="1" t="s">
        <v>12</v>
      </c>
      <c r="G39" s="1" t="s">
        <v>366</v>
      </c>
      <c r="H39" s="1" t="s">
        <v>367</v>
      </c>
    </row>
    <row r="40" spans="1:8" x14ac:dyDescent="0.25">
      <c r="A40" s="1" t="s">
        <v>248</v>
      </c>
      <c r="B40" s="1" t="s">
        <v>249</v>
      </c>
      <c r="C40" s="1" t="s">
        <v>250</v>
      </c>
      <c r="D40" s="1" t="s">
        <v>363</v>
      </c>
      <c r="E40" s="1" t="s">
        <v>357</v>
      </c>
      <c r="F40" s="1" t="s">
        <v>12</v>
      </c>
      <c r="G40" s="1" t="s">
        <v>366</v>
      </c>
      <c r="H40" s="1" t="s">
        <v>367</v>
      </c>
    </row>
    <row r="41" spans="1:8" x14ac:dyDescent="0.25">
      <c r="A41" s="1" t="s">
        <v>251</v>
      </c>
      <c r="B41" s="1" t="s">
        <v>252</v>
      </c>
      <c r="C41" s="1" t="s">
        <v>250</v>
      </c>
      <c r="D41" s="1" t="s">
        <v>368</v>
      </c>
      <c r="E41" s="1" t="s">
        <v>358</v>
      </c>
      <c r="F41" s="1" t="s">
        <v>12</v>
      </c>
      <c r="G41" s="1" t="s">
        <v>366</v>
      </c>
      <c r="H41" s="1" t="s">
        <v>367</v>
      </c>
    </row>
    <row r="42" spans="1:8" x14ac:dyDescent="0.25">
      <c r="A42" s="1" t="s">
        <v>253</v>
      </c>
      <c r="B42" s="1" t="s">
        <v>254</v>
      </c>
      <c r="C42" s="1" t="s">
        <v>250</v>
      </c>
      <c r="D42" s="1" t="s">
        <v>369</v>
      </c>
      <c r="E42" s="1" t="s">
        <v>359</v>
      </c>
      <c r="F42" s="1" t="s">
        <v>12</v>
      </c>
      <c r="G42" s="1" t="s">
        <v>366</v>
      </c>
      <c r="H42" s="1" t="s">
        <v>367</v>
      </c>
    </row>
    <row r="43" spans="1:8" x14ac:dyDescent="0.25">
      <c r="A43" s="1" t="s">
        <v>255</v>
      </c>
      <c r="B43" s="1" t="s">
        <v>256</v>
      </c>
      <c r="C43" s="1" t="s">
        <v>257</v>
      </c>
      <c r="D43" s="1" t="s">
        <v>363</v>
      </c>
      <c r="E43" s="1" t="s">
        <v>360</v>
      </c>
      <c r="F43" s="1" t="s">
        <v>12</v>
      </c>
      <c r="G43" s="1" t="s">
        <v>366</v>
      </c>
      <c r="H43" s="1" t="s">
        <v>367</v>
      </c>
    </row>
    <row r="44" spans="1:8" x14ac:dyDescent="0.25">
      <c r="A44" s="1" t="s">
        <v>258</v>
      </c>
      <c r="B44" s="1" t="s">
        <v>259</v>
      </c>
      <c r="C44" s="1" t="s">
        <v>257</v>
      </c>
      <c r="D44" s="1" t="s">
        <v>368</v>
      </c>
      <c r="E44" s="1" t="s">
        <v>361</v>
      </c>
      <c r="F44" s="1" t="s">
        <v>12</v>
      </c>
      <c r="G44" s="1" t="s">
        <v>366</v>
      </c>
      <c r="H44" s="1" t="s">
        <v>367</v>
      </c>
    </row>
    <row r="45" spans="1:8" x14ac:dyDescent="0.25">
      <c r="A45" s="1" t="s">
        <v>260</v>
      </c>
      <c r="B45" s="1" t="s">
        <v>261</v>
      </c>
      <c r="C45" s="1" t="s">
        <v>257</v>
      </c>
      <c r="D45" s="1" t="s">
        <v>369</v>
      </c>
      <c r="E45" s="1" t="s">
        <v>362</v>
      </c>
      <c r="F45" s="1" t="s">
        <v>12</v>
      </c>
      <c r="G45" s="1" t="s">
        <v>366</v>
      </c>
      <c r="H45" s="1" t="s">
        <v>367</v>
      </c>
    </row>
    <row r="46" spans="1:8" x14ac:dyDescent="0.25">
      <c r="A46" s="1" t="s">
        <v>262</v>
      </c>
      <c r="B46" s="1" t="s">
        <v>263</v>
      </c>
      <c r="C46" s="1" t="s">
        <v>69</v>
      </c>
      <c r="D46" s="1" t="s">
        <v>369</v>
      </c>
      <c r="E46" s="1" t="s">
        <v>371</v>
      </c>
      <c r="F46" s="1" t="s">
        <v>12</v>
      </c>
      <c r="G46" s="1" t="s">
        <v>366</v>
      </c>
      <c r="H46" s="1" t="s">
        <v>367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885D-8A79-4A65-B29C-0C48BA0EDC35}">
  <dimension ref="A1:H47"/>
  <sheetViews>
    <sheetView topLeftCell="A10" workbookViewId="0">
      <selection activeCell="C22" sqref="C22"/>
    </sheetView>
  </sheetViews>
  <sheetFormatPr defaultRowHeight="15" x14ac:dyDescent="0.25"/>
  <cols>
    <col min="1" max="1" width="18.5703125" bestFit="1" customWidth="1"/>
    <col min="2" max="2" width="12.85546875" bestFit="1" customWidth="1"/>
    <col min="3" max="3" width="15" bestFit="1" customWidth="1"/>
    <col min="4" max="4" width="8.28515625" bestFit="1" customWidth="1"/>
    <col min="5" max="5" width="9.85546875" bestFit="1" customWidth="1"/>
    <col min="6" max="6" width="12.140625" bestFit="1" customWidth="1"/>
    <col min="8" max="8" width="18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363</v>
      </c>
      <c r="E2" s="1" t="s">
        <v>11</v>
      </c>
      <c r="F2" s="1" t="s">
        <v>12</v>
      </c>
      <c r="G2" s="1" t="s">
        <v>364</v>
      </c>
      <c r="H2" s="1" t="s">
        <v>365</v>
      </c>
    </row>
    <row r="3" spans="1:8" x14ac:dyDescent="0.25">
      <c r="A3" s="1" t="s">
        <v>13</v>
      </c>
      <c r="B3" s="1" t="s">
        <v>14</v>
      </c>
      <c r="C3" s="1" t="s">
        <v>15</v>
      </c>
      <c r="D3" s="1" t="s">
        <v>363</v>
      </c>
      <c r="E3" s="1" t="s">
        <v>16</v>
      </c>
      <c r="F3" s="1" t="s">
        <v>12</v>
      </c>
      <c r="G3" s="1" t="s">
        <v>366</v>
      </c>
      <c r="H3" s="1" t="s">
        <v>367</v>
      </c>
    </row>
    <row r="4" spans="1:8" x14ac:dyDescent="0.25">
      <c r="A4" s="1" t="s">
        <v>17</v>
      </c>
      <c r="B4" s="1" t="s">
        <v>18</v>
      </c>
      <c r="C4" s="1" t="s">
        <v>15</v>
      </c>
      <c r="D4" s="1" t="s">
        <v>368</v>
      </c>
      <c r="E4" s="1" t="s">
        <v>19</v>
      </c>
      <c r="F4" s="1" t="s">
        <v>12</v>
      </c>
      <c r="G4" s="1" t="s">
        <v>366</v>
      </c>
      <c r="H4" s="1" t="s">
        <v>367</v>
      </c>
    </row>
    <row r="5" spans="1:8" x14ac:dyDescent="0.25">
      <c r="A5" s="1" t="s">
        <v>20</v>
      </c>
      <c r="B5" s="1" t="s">
        <v>21</v>
      </c>
      <c r="C5" s="1" t="s">
        <v>15</v>
      </c>
      <c r="D5" s="1" t="s">
        <v>369</v>
      </c>
      <c r="E5" s="1" t="s">
        <v>22</v>
      </c>
      <c r="F5" s="1" t="s">
        <v>12</v>
      </c>
      <c r="G5" s="1" t="s">
        <v>366</v>
      </c>
      <c r="H5" s="1" t="s">
        <v>367</v>
      </c>
    </row>
    <row r="6" spans="1:8" x14ac:dyDescent="0.25">
      <c r="A6" s="1" t="s">
        <v>23</v>
      </c>
      <c r="B6" s="1" t="s">
        <v>9</v>
      </c>
      <c r="C6" s="1" t="s">
        <v>10</v>
      </c>
      <c r="D6" s="1" t="s">
        <v>363</v>
      </c>
      <c r="E6" s="1" t="s">
        <v>24</v>
      </c>
      <c r="F6" s="1" t="s">
        <v>12</v>
      </c>
      <c r="G6" s="1" t="s">
        <v>366</v>
      </c>
      <c r="H6" s="1" t="s">
        <v>367</v>
      </c>
    </row>
    <row r="7" spans="1:8" x14ac:dyDescent="0.25">
      <c r="A7" s="1" t="s">
        <v>25</v>
      </c>
      <c r="B7" s="1" t="s">
        <v>26</v>
      </c>
      <c r="C7" s="1" t="s">
        <v>10</v>
      </c>
      <c r="D7" s="1" t="s">
        <v>368</v>
      </c>
      <c r="E7" s="1" t="s">
        <v>27</v>
      </c>
      <c r="F7" s="1" t="s">
        <v>12</v>
      </c>
      <c r="G7" s="1" t="s">
        <v>366</v>
      </c>
      <c r="H7" s="1" t="s">
        <v>367</v>
      </c>
    </row>
    <row r="8" spans="1:8" x14ac:dyDescent="0.25">
      <c r="A8" s="1" t="s">
        <v>28</v>
      </c>
      <c r="B8" s="1" t="s">
        <v>29</v>
      </c>
      <c r="C8" s="1" t="s">
        <v>10</v>
      </c>
      <c r="D8" s="1" t="s">
        <v>369</v>
      </c>
      <c r="E8" s="1" t="s">
        <v>11</v>
      </c>
      <c r="F8" s="1" t="s">
        <v>12</v>
      </c>
      <c r="G8" s="1" t="s">
        <v>366</v>
      </c>
      <c r="H8" s="1" t="s">
        <v>367</v>
      </c>
    </row>
    <row r="9" spans="1:8" x14ac:dyDescent="0.25">
      <c r="A9" s="1" t="s">
        <v>30</v>
      </c>
      <c r="B9" s="1" t="s">
        <v>31</v>
      </c>
      <c r="C9" s="1" t="s">
        <v>32</v>
      </c>
      <c r="D9" s="1" t="s">
        <v>363</v>
      </c>
      <c r="E9" s="1" t="s">
        <v>33</v>
      </c>
      <c r="F9" s="1" t="s">
        <v>12</v>
      </c>
      <c r="G9" s="1" t="s">
        <v>366</v>
      </c>
      <c r="H9" s="1" t="s">
        <v>367</v>
      </c>
    </row>
    <row r="10" spans="1:8" x14ac:dyDescent="0.25">
      <c r="A10" s="1" t="s">
        <v>34</v>
      </c>
      <c r="B10" s="1" t="s">
        <v>35</v>
      </c>
      <c r="C10" s="1" t="s">
        <v>32</v>
      </c>
      <c r="D10" s="1" t="s">
        <v>369</v>
      </c>
      <c r="E10" s="1" t="s">
        <v>36</v>
      </c>
      <c r="F10" s="1" t="s">
        <v>12</v>
      </c>
      <c r="G10" s="1" t="s">
        <v>366</v>
      </c>
      <c r="H10" s="1" t="s">
        <v>367</v>
      </c>
    </row>
    <row r="11" spans="1:8" x14ac:dyDescent="0.25">
      <c r="A11" s="1" t="s">
        <v>37</v>
      </c>
      <c r="B11" s="1" t="s">
        <v>38</v>
      </c>
      <c r="C11" s="1" t="s">
        <v>39</v>
      </c>
      <c r="D11" s="1" t="s">
        <v>363</v>
      </c>
      <c r="E11" s="1" t="s">
        <v>40</v>
      </c>
      <c r="F11" s="1" t="s">
        <v>12</v>
      </c>
      <c r="G11" s="1" t="s">
        <v>366</v>
      </c>
      <c r="H11" s="1" t="s">
        <v>367</v>
      </c>
    </row>
    <row r="12" spans="1:8" x14ac:dyDescent="0.25">
      <c r="A12" s="1" t="s">
        <v>41</v>
      </c>
      <c r="B12" s="1" t="s">
        <v>42</v>
      </c>
      <c r="C12" s="1" t="s">
        <v>39</v>
      </c>
      <c r="D12" s="1" t="s">
        <v>368</v>
      </c>
      <c r="E12" s="1" t="s">
        <v>43</v>
      </c>
      <c r="F12" s="1" t="s">
        <v>12</v>
      </c>
      <c r="G12" s="1" t="s">
        <v>366</v>
      </c>
      <c r="H12" s="1" t="s">
        <v>367</v>
      </c>
    </row>
    <row r="13" spans="1:8" x14ac:dyDescent="0.25">
      <c r="A13" s="1" t="s">
        <v>44</v>
      </c>
      <c r="B13" s="1" t="s">
        <v>45</v>
      </c>
      <c r="C13" s="1" t="s">
        <v>39</v>
      </c>
      <c r="D13" s="1" t="s">
        <v>369</v>
      </c>
      <c r="E13" s="1" t="s">
        <v>46</v>
      </c>
      <c r="F13" s="1" t="s">
        <v>12</v>
      </c>
      <c r="G13" s="1" t="s">
        <v>366</v>
      </c>
      <c r="H13" s="1" t="s">
        <v>367</v>
      </c>
    </row>
    <row r="14" spans="1:8" x14ac:dyDescent="0.25">
      <c r="A14" s="1" t="s">
        <v>47</v>
      </c>
      <c r="B14" s="1" t="s">
        <v>48</v>
      </c>
      <c r="C14" s="1" t="s">
        <v>49</v>
      </c>
      <c r="D14" s="1" t="s">
        <v>363</v>
      </c>
      <c r="E14" s="1" t="s">
        <v>50</v>
      </c>
      <c r="F14" s="1" t="s">
        <v>12</v>
      </c>
      <c r="G14" s="1" t="s">
        <v>366</v>
      </c>
      <c r="H14" s="1" t="s">
        <v>367</v>
      </c>
    </row>
    <row r="15" spans="1:8" x14ac:dyDescent="0.25">
      <c r="A15" s="1" t="s">
        <v>51</v>
      </c>
      <c r="B15" s="1" t="s">
        <v>52</v>
      </c>
      <c r="C15" s="1" t="s">
        <v>49</v>
      </c>
      <c r="D15" s="1" t="s">
        <v>368</v>
      </c>
      <c r="E15" s="1" t="s">
        <v>53</v>
      </c>
      <c r="F15" s="1" t="s">
        <v>12</v>
      </c>
      <c r="G15" s="1" t="s">
        <v>366</v>
      </c>
      <c r="H15" s="1" t="s">
        <v>367</v>
      </c>
    </row>
    <row r="16" spans="1:8" x14ac:dyDescent="0.25">
      <c r="A16" s="1" t="s">
        <v>54</v>
      </c>
      <c r="B16" s="1" t="s">
        <v>55</v>
      </c>
      <c r="C16" s="1" t="s">
        <v>49</v>
      </c>
      <c r="D16" s="1" t="s">
        <v>369</v>
      </c>
      <c r="E16" s="1" t="s">
        <v>56</v>
      </c>
      <c r="F16" s="1" t="s">
        <v>12</v>
      </c>
      <c r="G16" s="1" t="s">
        <v>366</v>
      </c>
      <c r="H16" s="1" t="s">
        <v>367</v>
      </c>
    </row>
    <row r="17" spans="1:8" x14ac:dyDescent="0.25">
      <c r="A17" s="1" t="s">
        <v>57</v>
      </c>
      <c r="B17" s="1" t="s">
        <v>58</v>
      </c>
      <c r="C17" s="1" t="s">
        <v>59</v>
      </c>
      <c r="D17" s="1" t="s">
        <v>363</v>
      </c>
      <c r="E17" s="1" t="s">
        <v>60</v>
      </c>
      <c r="F17" s="1" t="s">
        <v>12</v>
      </c>
      <c r="G17" s="1" t="s">
        <v>366</v>
      </c>
      <c r="H17" s="1" t="s">
        <v>367</v>
      </c>
    </row>
    <row r="18" spans="1:8" x14ac:dyDescent="0.25">
      <c r="A18" s="1" t="s">
        <v>61</v>
      </c>
      <c r="B18" s="1" t="s">
        <v>62</v>
      </c>
      <c r="C18" s="1" t="s">
        <v>59</v>
      </c>
      <c r="D18" s="1" t="s">
        <v>368</v>
      </c>
      <c r="E18" s="1" t="s">
        <v>63</v>
      </c>
      <c r="F18" s="1" t="s">
        <v>12</v>
      </c>
      <c r="G18" s="1" t="s">
        <v>366</v>
      </c>
      <c r="H18" s="1" t="s">
        <v>367</v>
      </c>
    </row>
    <row r="19" spans="1:8" x14ac:dyDescent="0.25">
      <c r="A19" s="1" t="s">
        <v>64</v>
      </c>
      <c r="B19" s="1" t="s">
        <v>65</v>
      </c>
      <c r="C19" s="1" t="s">
        <v>59</v>
      </c>
      <c r="D19" s="1" t="s">
        <v>369</v>
      </c>
      <c r="E19" s="1" t="s">
        <v>66</v>
      </c>
      <c r="F19" s="1" t="s">
        <v>12</v>
      </c>
      <c r="G19" s="1" t="s">
        <v>366</v>
      </c>
      <c r="H19" s="1" t="s">
        <v>367</v>
      </c>
    </row>
    <row r="20" spans="1:8" x14ac:dyDescent="0.25">
      <c r="A20" s="1" t="s">
        <v>67</v>
      </c>
      <c r="B20" s="1" t="s">
        <v>68</v>
      </c>
      <c r="C20" s="1" t="s">
        <v>69</v>
      </c>
      <c r="D20" s="1" t="s">
        <v>363</v>
      </c>
      <c r="E20" s="1" t="s">
        <v>70</v>
      </c>
      <c r="F20" s="1" t="s">
        <v>12</v>
      </c>
      <c r="G20" s="1" t="s">
        <v>366</v>
      </c>
      <c r="H20" s="1" t="s">
        <v>367</v>
      </c>
    </row>
    <row r="21" spans="1:8" x14ac:dyDescent="0.25">
      <c r="A21" s="1" t="s">
        <v>71</v>
      </c>
      <c r="B21" s="1" t="s">
        <v>72</v>
      </c>
      <c r="C21" s="1" t="s">
        <v>69</v>
      </c>
      <c r="D21" s="1" t="s">
        <v>368</v>
      </c>
      <c r="E21" s="1" t="s">
        <v>73</v>
      </c>
      <c r="F21" s="1" t="s">
        <v>12</v>
      </c>
      <c r="G21" s="1" t="s">
        <v>366</v>
      </c>
      <c r="H21" s="1" t="s">
        <v>367</v>
      </c>
    </row>
    <row r="22" spans="1:8" x14ac:dyDescent="0.25">
      <c r="A22" s="1" t="s">
        <v>74</v>
      </c>
      <c r="B22" s="1" t="s">
        <v>75</v>
      </c>
      <c r="C22" s="1" t="s">
        <v>69</v>
      </c>
      <c r="D22" s="1" t="s">
        <v>369</v>
      </c>
      <c r="E22" s="1" t="s">
        <v>76</v>
      </c>
      <c r="F22" s="1" t="s">
        <v>12</v>
      </c>
      <c r="G22" s="1" t="s">
        <v>366</v>
      </c>
      <c r="H22" s="1" t="s">
        <v>367</v>
      </c>
    </row>
    <row r="23" spans="1:8" x14ac:dyDescent="0.25">
      <c r="A23" s="1" t="s">
        <v>77</v>
      </c>
      <c r="B23" s="1" t="s">
        <v>78</v>
      </c>
      <c r="C23" s="1" t="s">
        <v>79</v>
      </c>
      <c r="D23" s="1" t="s">
        <v>363</v>
      </c>
      <c r="E23" s="1" t="s">
        <v>80</v>
      </c>
      <c r="F23" s="1" t="s">
        <v>12</v>
      </c>
      <c r="G23" s="1" t="s">
        <v>366</v>
      </c>
      <c r="H23" s="1" t="s">
        <v>367</v>
      </c>
    </row>
    <row r="24" spans="1:8" x14ac:dyDescent="0.25">
      <c r="A24" s="1" t="s">
        <v>81</v>
      </c>
      <c r="B24" s="1" t="s">
        <v>82</v>
      </c>
      <c r="C24" s="1" t="s">
        <v>79</v>
      </c>
      <c r="D24" s="1" t="s">
        <v>368</v>
      </c>
      <c r="E24" s="1" t="s">
        <v>83</v>
      </c>
      <c r="F24" s="1" t="s">
        <v>12</v>
      </c>
      <c r="G24" s="1" t="s">
        <v>366</v>
      </c>
      <c r="H24" s="1" t="s">
        <v>367</v>
      </c>
    </row>
    <row r="25" spans="1:8" x14ac:dyDescent="0.25">
      <c r="A25" s="1" t="s">
        <v>84</v>
      </c>
      <c r="B25" s="1" t="s">
        <v>85</v>
      </c>
      <c r="C25" s="1" t="s">
        <v>79</v>
      </c>
      <c r="D25" s="1" t="s">
        <v>369</v>
      </c>
      <c r="E25" s="1" t="s">
        <v>86</v>
      </c>
      <c r="F25" s="1" t="s">
        <v>12</v>
      </c>
      <c r="G25" s="1" t="s">
        <v>366</v>
      </c>
      <c r="H25" s="1" t="s">
        <v>367</v>
      </c>
    </row>
    <row r="26" spans="1:8" x14ac:dyDescent="0.25">
      <c r="A26" s="1" t="s">
        <v>87</v>
      </c>
      <c r="B26" s="1" t="s">
        <v>88</v>
      </c>
      <c r="C26" s="1" t="s">
        <v>89</v>
      </c>
      <c r="D26" s="1" t="s">
        <v>363</v>
      </c>
      <c r="E26" s="1" t="s">
        <v>90</v>
      </c>
      <c r="F26" s="1" t="s">
        <v>91</v>
      </c>
      <c r="G26" s="1" t="s">
        <v>366</v>
      </c>
      <c r="H26" s="1" t="s">
        <v>367</v>
      </c>
    </row>
    <row r="27" spans="1:8" x14ac:dyDescent="0.25">
      <c r="A27" s="1" t="s">
        <v>92</v>
      </c>
      <c r="B27" s="1" t="s">
        <v>93</v>
      </c>
      <c r="C27" s="1" t="s">
        <v>89</v>
      </c>
      <c r="D27" s="1" t="s">
        <v>368</v>
      </c>
      <c r="E27" s="1" t="s">
        <v>94</v>
      </c>
      <c r="F27" s="1" t="s">
        <v>12</v>
      </c>
      <c r="G27" s="1" t="s">
        <v>366</v>
      </c>
      <c r="H27" s="1" t="s">
        <v>367</v>
      </c>
    </row>
    <row r="28" spans="1:8" x14ac:dyDescent="0.25">
      <c r="A28" s="1" t="s">
        <v>95</v>
      </c>
      <c r="B28" s="1" t="s">
        <v>96</v>
      </c>
      <c r="C28" s="1" t="s">
        <v>89</v>
      </c>
      <c r="D28" s="1" t="s">
        <v>369</v>
      </c>
      <c r="E28" s="1" t="s">
        <v>97</v>
      </c>
      <c r="F28" s="1" t="s">
        <v>12</v>
      </c>
      <c r="G28" s="1" t="s">
        <v>366</v>
      </c>
      <c r="H28" s="1" t="s">
        <v>367</v>
      </c>
    </row>
    <row r="29" spans="1:8" x14ac:dyDescent="0.25">
      <c r="A29" s="1" t="s">
        <v>98</v>
      </c>
      <c r="B29" s="1" t="s">
        <v>99</v>
      </c>
      <c r="C29" s="1" t="s">
        <v>100</v>
      </c>
      <c r="D29" s="1" t="s">
        <v>363</v>
      </c>
      <c r="E29" s="1" t="s">
        <v>101</v>
      </c>
      <c r="F29" s="1" t="s">
        <v>12</v>
      </c>
      <c r="G29" s="1" t="s">
        <v>366</v>
      </c>
      <c r="H29" s="1" t="s">
        <v>367</v>
      </c>
    </row>
    <row r="30" spans="1:8" x14ac:dyDescent="0.25">
      <c r="A30" s="1" t="s">
        <v>102</v>
      </c>
      <c r="B30" s="1" t="s">
        <v>103</v>
      </c>
      <c r="C30" s="1" t="s">
        <v>100</v>
      </c>
      <c r="D30" s="1" t="s">
        <v>368</v>
      </c>
      <c r="E30" s="1" t="s">
        <v>104</v>
      </c>
      <c r="F30" s="1" t="s">
        <v>12</v>
      </c>
      <c r="G30" s="1" t="s">
        <v>366</v>
      </c>
      <c r="H30" s="1" t="s">
        <v>367</v>
      </c>
    </row>
    <row r="31" spans="1:8" x14ac:dyDescent="0.25">
      <c r="A31" s="1" t="s">
        <v>105</v>
      </c>
      <c r="B31" s="1" t="s">
        <v>106</v>
      </c>
      <c r="C31" s="1" t="s">
        <v>100</v>
      </c>
      <c r="D31" s="1" t="s">
        <v>369</v>
      </c>
      <c r="E31" s="1" t="s">
        <v>107</v>
      </c>
      <c r="F31" s="1" t="s">
        <v>12</v>
      </c>
      <c r="G31" s="1" t="s">
        <v>366</v>
      </c>
      <c r="H31" s="1" t="s">
        <v>367</v>
      </c>
    </row>
    <row r="32" spans="1:8" x14ac:dyDescent="0.25">
      <c r="A32" s="1" t="s">
        <v>108</v>
      </c>
      <c r="B32" s="1" t="s">
        <v>109</v>
      </c>
      <c r="C32" s="1" t="s">
        <v>110</v>
      </c>
      <c r="D32" s="1" t="s">
        <v>368</v>
      </c>
      <c r="E32" s="1" t="s">
        <v>111</v>
      </c>
      <c r="F32" s="1" t="s">
        <v>12</v>
      </c>
      <c r="G32" s="1" t="s">
        <v>366</v>
      </c>
      <c r="H32" s="1" t="s">
        <v>367</v>
      </c>
    </row>
    <row r="33" spans="1:8" x14ac:dyDescent="0.25">
      <c r="A33" s="1" t="s">
        <v>112</v>
      </c>
      <c r="B33" s="1" t="s">
        <v>113</v>
      </c>
      <c r="C33" s="1" t="s">
        <v>110</v>
      </c>
      <c r="D33" s="1" t="s">
        <v>369</v>
      </c>
      <c r="E33" s="1" t="s">
        <v>114</v>
      </c>
      <c r="F33" s="1" t="s">
        <v>12</v>
      </c>
      <c r="G33" s="1" t="s">
        <v>366</v>
      </c>
      <c r="H33" s="1" t="s">
        <v>367</v>
      </c>
    </row>
    <row r="34" spans="1:8" x14ac:dyDescent="0.25">
      <c r="A34" s="1" t="s">
        <v>115</v>
      </c>
      <c r="B34" s="1" t="s">
        <v>116</v>
      </c>
      <c r="C34" s="1" t="s">
        <v>117</v>
      </c>
      <c r="D34" s="1" t="s">
        <v>363</v>
      </c>
      <c r="E34" s="1" t="s">
        <v>118</v>
      </c>
      <c r="F34" s="1" t="s">
        <v>12</v>
      </c>
      <c r="G34" s="1" t="s">
        <v>366</v>
      </c>
      <c r="H34" s="1" t="s">
        <v>367</v>
      </c>
    </row>
    <row r="35" spans="1:8" x14ac:dyDescent="0.25">
      <c r="A35" s="1" t="s">
        <v>119</v>
      </c>
      <c r="B35" s="1" t="s">
        <v>120</v>
      </c>
      <c r="C35" s="1" t="s">
        <v>117</v>
      </c>
      <c r="D35" s="1" t="s">
        <v>368</v>
      </c>
      <c r="E35" s="1" t="s">
        <v>121</v>
      </c>
      <c r="F35" s="1" t="s">
        <v>12</v>
      </c>
      <c r="G35" s="1" t="s">
        <v>366</v>
      </c>
      <c r="H35" s="1" t="s">
        <v>367</v>
      </c>
    </row>
    <row r="36" spans="1:8" x14ac:dyDescent="0.25">
      <c r="A36" s="1" t="s">
        <v>122</v>
      </c>
      <c r="B36" s="1" t="s">
        <v>123</v>
      </c>
      <c r="C36" s="1" t="s">
        <v>117</v>
      </c>
      <c r="D36" s="1" t="s">
        <v>369</v>
      </c>
      <c r="E36" s="1" t="s">
        <v>124</v>
      </c>
      <c r="F36" s="1" t="s">
        <v>12</v>
      </c>
      <c r="G36" s="1" t="s">
        <v>366</v>
      </c>
      <c r="H36" s="1" t="s">
        <v>367</v>
      </c>
    </row>
    <row r="37" spans="1:8" x14ac:dyDescent="0.25">
      <c r="A37" s="1" t="s">
        <v>125</v>
      </c>
      <c r="B37" s="1" t="s">
        <v>126</v>
      </c>
      <c r="C37" s="1" t="s">
        <v>127</v>
      </c>
      <c r="D37" s="1" t="s">
        <v>363</v>
      </c>
      <c r="E37" s="1" t="s">
        <v>128</v>
      </c>
      <c r="F37" s="1" t="s">
        <v>12</v>
      </c>
      <c r="G37" s="1" t="s">
        <v>366</v>
      </c>
      <c r="H37" s="1" t="s">
        <v>367</v>
      </c>
    </row>
    <row r="38" spans="1:8" x14ac:dyDescent="0.25">
      <c r="A38" s="1" t="s">
        <v>129</v>
      </c>
      <c r="B38" s="1" t="s">
        <v>130</v>
      </c>
      <c r="C38" s="1" t="s">
        <v>127</v>
      </c>
      <c r="D38" s="1" t="s">
        <v>368</v>
      </c>
      <c r="E38" s="1" t="s">
        <v>131</v>
      </c>
      <c r="F38" s="1" t="s">
        <v>12</v>
      </c>
      <c r="G38" s="1" t="s">
        <v>366</v>
      </c>
      <c r="H38" s="1" t="s">
        <v>367</v>
      </c>
    </row>
    <row r="39" spans="1:8" x14ac:dyDescent="0.25">
      <c r="A39" s="1" t="s">
        <v>132</v>
      </c>
      <c r="B39" s="1" t="s">
        <v>133</v>
      </c>
      <c r="C39" s="1" t="s">
        <v>127</v>
      </c>
      <c r="D39" s="1" t="s">
        <v>369</v>
      </c>
      <c r="E39" s="1" t="s">
        <v>134</v>
      </c>
      <c r="F39" s="1" t="s">
        <v>12</v>
      </c>
      <c r="G39" s="1" t="s">
        <v>366</v>
      </c>
      <c r="H39" s="1" t="s">
        <v>367</v>
      </c>
    </row>
    <row r="40" spans="1:8" x14ac:dyDescent="0.25">
      <c r="A40" s="1" t="s">
        <v>135</v>
      </c>
      <c r="B40" s="1" t="s">
        <v>136</v>
      </c>
      <c r="C40" s="1" t="s">
        <v>137</v>
      </c>
      <c r="D40" s="1" t="s">
        <v>363</v>
      </c>
      <c r="E40" s="1" t="s">
        <v>138</v>
      </c>
      <c r="F40" s="1" t="s">
        <v>12</v>
      </c>
      <c r="G40" s="1" t="s">
        <v>366</v>
      </c>
      <c r="H40" s="1" t="s">
        <v>367</v>
      </c>
    </row>
    <row r="41" spans="1:8" x14ac:dyDescent="0.25">
      <c r="A41" s="1" t="s">
        <v>139</v>
      </c>
      <c r="B41" s="1" t="s">
        <v>140</v>
      </c>
      <c r="C41" s="1" t="s">
        <v>137</v>
      </c>
      <c r="D41" s="1" t="s">
        <v>368</v>
      </c>
      <c r="E41" s="1" t="s">
        <v>141</v>
      </c>
      <c r="F41" s="1" t="s">
        <v>12</v>
      </c>
      <c r="G41" s="1" t="s">
        <v>366</v>
      </c>
      <c r="H41" s="1" t="s">
        <v>367</v>
      </c>
    </row>
    <row r="42" spans="1:8" x14ac:dyDescent="0.25">
      <c r="A42" s="1" t="s">
        <v>142</v>
      </c>
      <c r="B42" s="1" t="s">
        <v>143</v>
      </c>
      <c r="C42" s="1" t="s">
        <v>137</v>
      </c>
      <c r="D42" s="1" t="s">
        <v>369</v>
      </c>
      <c r="E42" s="1" t="s">
        <v>144</v>
      </c>
      <c r="F42" s="1" t="s">
        <v>12</v>
      </c>
      <c r="G42" s="1" t="s">
        <v>366</v>
      </c>
      <c r="H42" s="1" t="s">
        <v>367</v>
      </c>
    </row>
    <row r="43" spans="1:8" x14ac:dyDescent="0.25">
      <c r="A43" s="1" t="s">
        <v>145</v>
      </c>
      <c r="B43" s="1" t="s">
        <v>146</v>
      </c>
      <c r="C43" s="1" t="s">
        <v>147</v>
      </c>
      <c r="D43" s="1" t="s">
        <v>363</v>
      </c>
      <c r="E43" s="1" t="s">
        <v>148</v>
      </c>
      <c r="F43" s="1" t="s">
        <v>12</v>
      </c>
      <c r="G43" s="1" t="s">
        <v>366</v>
      </c>
      <c r="H43" s="1" t="s">
        <v>367</v>
      </c>
    </row>
    <row r="44" spans="1:8" x14ac:dyDescent="0.25">
      <c r="A44" s="1" t="s">
        <v>149</v>
      </c>
      <c r="B44" s="1" t="s">
        <v>150</v>
      </c>
      <c r="C44" s="1" t="s">
        <v>147</v>
      </c>
      <c r="D44" s="1" t="s">
        <v>369</v>
      </c>
      <c r="E44" s="1" t="s">
        <v>151</v>
      </c>
      <c r="F44" s="1" t="s">
        <v>12</v>
      </c>
      <c r="G44" s="1" t="s">
        <v>366</v>
      </c>
      <c r="H44" s="1" t="s">
        <v>367</v>
      </c>
    </row>
    <row r="45" spans="1:8" x14ac:dyDescent="0.25">
      <c r="A45" s="1" t="s">
        <v>152</v>
      </c>
      <c r="B45" s="1" t="s">
        <v>48</v>
      </c>
      <c r="C45" s="1" t="s">
        <v>49</v>
      </c>
      <c r="D45" s="1" t="s">
        <v>363</v>
      </c>
      <c r="E45" s="1" t="s">
        <v>50</v>
      </c>
      <c r="F45" s="1" t="s">
        <v>12</v>
      </c>
      <c r="G45" s="1" t="s">
        <v>366</v>
      </c>
      <c r="H45" s="1" t="s">
        <v>367</v>
      </c>
    </row>
    <row r="46" spans="1:8" x14ac:dyDescent="0.25">
      <c r="A46" s="1" t="s">
        <v>153</v>
      </c>
      <c r="B46" s="1" t="s">
        <v>154</v>
      </c>
      <c r="C46" s="1" t="s">
        <v>155</v>
      </c>
      <c r="D46" s="1" t="s">
        <v>368</v>
      </c>
      <c r="E46" s="1" t="s">
        <v>156</v>
      </c>
      <c r="F46" s="1" t="s">
        <v>12</v>
      </c>
      <c r="G46" s="1" t="s">
        <v>366</v>
      </c>
      <c r="H46" s="1" t="s">
        <v>367</v>
      </c>
    </row>
    <row r="47" spans="1:8" x14ac:dyDescent="0.25">
      <c r="A47" s="1" t="s">
        <v>157</v>
      </c>
      <c r="B47" s="1" t="s">
        <v>158</v>
      </c>
      <c r="C47" s="1" t="s">
        <v>159</v>
      </c>
      <c r="D47" s="1" t="s">
        <v>363</v>
      </c>
      <c r="E47" s="1" t="s">
        <v>160</v>
      </c>
      <c r="F47" s="1" t="s">
        <v>12</v>
      </c>
      <c r="G47" s="1" t="s">
        <v>366</v>
      </c>
      <c r="H47" s="1" t="s">
        <v>367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4206A-B455-4F2B-B4D3-B1186A58457E}">
  <dimension ref="A1:J89"/>
  <sheetViews>
    <sheetView workbookViewId="0"/>
  </sheetViews>
  <sheetFormatPr defaultRowHeight="15" x14ac:dyDescent="0.25"/>
  <cols>
    <col min="1" max="1" width="12.7109375" bestFit="1" customWidth="1"/>
    <col min="2" max="2" width="12.85546875" bestFit="1" customWidth="1"/>
    <col min="3" max="3" width="15" bestFit="1" customWidth="1"/>
    <col min="4" max="4" width="8.28515625" bestFit="1" customWidth="1"/>
    <col min="5" max="5" width="9.85546875" bestFit="1" customWidth="1"/>
    <col min="6" max="6" width="12.140625" bestFit="1" customWidth="1"/>
    <col min="8" max="8" width="18.85546875" bestFit="1" customWidth="1"/>
    <col min="9" max="9" width="17.7109375" bestFit="1" customWidth="1"/>
    <col min="10" max="10" width="6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378</v>
      </c>
      <c r="J1" t="s">
        <v>379</v>
      </c>
    </row>
    <row r="2" spans="1:10" x14ac:dyDescent="0.25">
      <c r="A2" s="1" t="s">
        <v>8</v>
      </c>
      <c r="B2" s="1" t="s">
        <v>9</v>
      </c>
      <c r="C2" s="1" t="s">
        <v>10</v>
      </c>
      <c r="D2" s="1" t="s">
        <v>363</v>
      </c>
      <c r="E2">
        <v>1026</v>
      </c>
      <c r="F2" s="1" t="s">
        <v>12</v>
      </c>
      <c r="G2">
        <v>2</v>
      </c>
      <c r="H2" s="1" t="s">
        <v>365</v>
      </c>
      <c r="I2">
        <v>1</v>
      </c>
      <c r="J2">
        <v>1026</v>
      </c>
    </row>
    <row r="3" spans="1:10" x14ac:dyDescent="0.25">
      <c r="A3" s="1" t="s">
        <v>161</v>
      </c>
      <c r="B3" s="1" t="s">
        <v>162</v>
      </c>
      <c r="C3" s="1" t="s">
        <v>163</v>
      </c>
      <c r="D3" s="1" t="s">
        <v>369</v>
      </c>
      <c r="E3">
        <v>1288</v>
      </c>
      <c r="F3" s="1" t="s">
        <v>12</v>
      </c>
      <c r="G3">
        <v>2</v>
      </c>
      <c r="H3" s="1" t="s">
        <v>365</v>
      </c>
      <c r="I3">
        <v>1</v>
      </c>
      <c r="J3">
        <v>1288</v>
      </c>
    </row>
    <row r="4" spans="1:10" x14ac:dyDescent="0.25">
      <c r="A4" s="1" t="s">
        <v>92</v>
      </c>
      <c r="B4" s="1" t="s">
        <v>93</v>
      </c>
      <c r="C4" s="1" t="s">
        <v>293</v>
      </c>
      <c r="D4" s="1" t="s">
        <v>368</v>
      </c>
      <c r="E4">
        <v>1127</v>
      </c>
      <c r="F4" s="1" t="s">
        <v>12</v>
      </c>
      <c r="G4">
        <v>1</v>
      </c>
      <c r="H4" s="1" t="s">
        <v>367</v>
      </c>
      <c r="I4">
        <v>1</v>
      </c>
      <c r="J4">
        <v>1127</v>
      </c>
    </row>
    <row r="5" spans="1:10" x14ac:dyDescent="0.25">
      <c r="A5" s="1" t="s">
        <v>218</v>
      </c>
      <c r="B5" s="1" t="s">
        <v>219</v>
      </c>
      <c r="C5" s="1" t="s">
        <v>217</v>
      </c>
      <c r="D5" s="1" t="s">
        <v>368</v>
      </c>
      <c r="E5">
        <v>1472</v>
      </c>
      <c r="F5" s="1" t="s">
        <v>12</v>
      </c>
      <c r="G5">
        <v>1</v>
      </c>
      <c r="H5" s="1" t="s">
        <v>367</v>
      </c>
      <c r="I5">
        <v>1</v>
      </c>
      <c r="J5">
        <v>1472</v>
      </c>
    </row>
    <row r="6" spans="1:10" x14ac:dyDescent="0.25">
      <c r="A6" s="1" t="s">
        <v>95</v>
      </c>
      <c r="B6" s="1" t="s">
        <v>96</v>
      </c>
      <c r="C6" s="1" t="s">
        <v>293</v>
      </c>
      <c r="D6" s="1" t="s">
        <v>369</v>
      </c>
      <c r="E6">
        <v>1187</v>
      </c>
      <c r="F6" s="1" t="s">
        <v>12</v>
      </c>
      <c r="G6">
        <v>1</v>
      </c>
      <c r="H6" s="1" t="s">
        <v>367</v>
      </c>
      <c r="I6">
        <v>1</v>
      </c>
      <c r="J6">
        <v>1187</v>
      </c>
    </row>
    <row r="7" spans="1:10" x14ac:dyDescent="0.25">
      <c r="A7" s="1" t="s">
        <v>220</v>
      </c>
      <c r="B7" s="1" t="s">
        <v>221</v>
      </c>
      <c r="C7" s="1" t="s">
        <v>217</v>
      </c>
      <c r="D7" s="1" t="s">
        <v>369</v>
      </c>
      <c r="E7">
        <v>1532</v>
      </c>
      <c r="F7" s="1" t="s">
        <v>12</v>
      </c>
      <c r="G7">
        <v>1</v>
      </c>
      <c r="H7" s="1" t="s">
        <v>367</v>
      </c>
      <c r="I7">
        <v>1</v>
      </c>
      <c r="J7">
        <v>1532</v>
      </c>
    </row>
    <row r="8" spans="1:10" x14ac:dyDescent="0.25">
      <c r="A8" s="1" t="s">
        <v>98</v>
      </c>
      <c r="B8" s="1" t="s">
        <v>99</v>
      </c>
      <c r="C8" s="1" t="s">
        <v>100</v>
      </c>
      <c r="D8" s="1" t="s">
        <v>363</v>
      </c>
      <c r="E8">
        <v>1090</v>
      </c>
      <c r="F8" s="1" t="s">
        <v>12</v>
      </c>
      <c r="G8">
        <v>1</v>
      </c>
      <c r="H8" s="1" t="s">
        <v>367</v>
      </c>
      <c r="I8">
        <v>1</v>
      </c>
      <c r="J8">
        <v>1090</v>
      </c>
    </row>
    <row r="9" spans="1:10" x14ac:dyDescent="0.25">
      <c r="A9" s="1" t="s">
        <v>222</v>
      </c>
      <c r="B9" s="1" t="s">
        <v>223</v>
      </c>
      <c r="C9" s="1" t="s">
        <v>224</v>
      </c>
      <c r="D9" s="1" t="s">
        <v>363</v>
      </c>
      <c r="E9">
        <v>1435</v>
      </c>
      <c r="F9" s="1" t="s">
        <v>12</v>
      </c>
      <c r="G9">
        <v>1</v>
      </c>
      <c r="H9" s="1" t="s">
        <v>367</v>
      </c>
      <c r="I9">
        <v>1</v>
      </c>
      <c r="J9">
        <v>1435</v>
      </c>
    </row>
    <row r="10" spans="1:10" x14ac:dyDescent="0.25">
      <c r="A10" s="1" t="s">
        <v>102</v>
      </c>
      <c r="B10" s="1" t="s">
        <v>103</v>
      </c>
      <c r="C10" s="1" t="s">
        <v>100</v>
      </c>
      <c r="D10" s="1" t="s">
        <v>368</v>
      </c>
      <c r="E10">
        <v>1150</v>
      </c>
      <c r="F10" s="1" t="s">
        <v>12</v>
      </c>
      <c r="G10">
        <v>1</v>
      </c>
      <c r="H10" s="1" t="s">
        <v>367</v>
      </c>
      <c r="I10">
        <v>1</v>
      </c>
      <c r="J10">
        <v>1150</v>
      </c>
    </row>
    <row r="11" spans="1:10" x14ac:dyDescent="0.25">
      <c r="A11" s="1" t="s">
        <v>225</v>
      </c>
      <c r="B11" s="1" t="s">
        <v>226</v>
      </c>
      <c r="C11" s="1" t="s">
        <v>224</v>
      </c>
      <c r="D11" s="1" t="s">
        <v>369</v>
      </c>
      <c r="E11">
        <v>1555</v>
      </c>
      <c r="F11" s="1" t="s">
        <v>12</v>
      </c>
      <c r="G11">
        <v>1</v>
      </c>
      <c r="H11" s="1" t="s">
        <v>367</v>
      </c>
      <c r="I11">
        <v>1</v>
      </c>
      <c r="J11">
        <v>1555</v>
      </c>
    </row>
    <row r="12" spans="1:10" x14ac:dyDescent="0.25">
      <c r="A12" s="1" t="s">
        <v>105</v>
      </c>
      <c r="B12" s="1" t="s">
        <v>106</v>
      </c>
      <c r="C12" s="1" t="s">
        <v>100</v>
      </c>
      <c r="D12" s="1" t="s">
        <v>369</v>
      </c>
      <c r="E12">
        <v>1210</v>
      </c>
      <c r="F12" s="1" t="s">
        <v>12</v>
      </c>
      <c r="G12">
        <v>1</v>
      </c>
      <c r="H12" s="1" t="s">
        <v>367</v>
      </c>
      <c r="I12">
        <v>1</v>
      </c>
      <c r="J12">
        <v>1210</v>
      </c>
    </row>
    <row r="13" spans="1:10" x14ac:dyDescent="0.25">
      <c r="A13" s="1" t="s">
        <v>227</v>
      </c>
      <c r="B13" s="1" t="s">
        <v>228</v>
      </c>
      <c r="C13" s="1" t="s">
        <v>229</v>
      </c>
      <c r="D13" s="1" t="s">
        <v>363</v>
      </c>
      <c r="E13">
        <v>1458</v>
      </c>
      <c r="F13" s="1" t="s">
        <v>12</v>
      </c>
      <c r="G13">
        <v>1</v>
      </c>
      <c r="H13" s="1" t="s">
        <v>367</v>
      </c>
      <c r="I13">
        <v>1</v>
      </c>
      <c r="J13">
        <v>1458</v>
      </c>
    </row>
    <row r="14" spans="1:10" x14ac:dyDescent="0.25">
      <c r="A14" s="1" t="s">
        <v>108</v>
      </c>
      <c r="B14" s="1" t="s">
        <v>109</v>
      </c>
      <c r="C14" s="1" t="s">
        <v>110</v>
      </c>
      <c r="D14" s="1" t="s">
        <v>368</v>
      </c>
      <c r="E14">
        <v>1173</v>
      </c>
      <c r="F14" s="1" t="s">
        <v>12</v>
      </c>
      <c r="G14">
        <v>1</v>
      </c>
      <c r="H14" s="1" t="s">
        <v>367</v>
      </c>
      <c r="I14">
        <v>1</v>
      </c>
      <c r="J14">
        <v>1173</v>
      </c>
    </row>
    <row r="15" spans="1:10" x14ac:dyDescent="0.25">
      <c r="A15" s="1" t="s">
        <v>230</v>
      </c>
      <c r="B15" s="1" t="s">
        <v>231</v>
      </c>
      <c r="C15" s="1" t="s">
        <v>229</v>
      </c>
      <c r="D15" s="1" t="s">
        <v>368</v>
      </c>
      <c r="E15">
        <v>1518</v>
      </c>
      <c r="F15" s="1" t="s">
        <v>12</v>
      </c>
      <c r="G15">
        <v>1</v>
      </c>
      <c r="H15" s="1" t="s">
        <v>367</v>
      </c>
      <c r="I15">
        <v>1</v>
      </c>
      <c r="J15">
        <v>1518</v>
      </c>
    </row>
    <row r="16" spans="1:10" x14ac:dyDescent="0.25">
      <c r="A16" s="1" t="s">
        <v>112</v>
      </c>
      <c r="B16" s="1" t="s">
        <v>113</v>
      </c>
      <c r="C16" s="1" t="s">
        <v>110</v>
      </c>
      <c r="D16" s="1" t="s">
        <v>369</v>
      </c>
      <c r="E16">
        <v>1233</v>
      </c>
      <c r="F16" s="1" t="s">
        <v>12</v>
      </c>
      <c r="G16">
        <v>1</v>
      </c>
      <c r="H16" s="1" t="s">
        <v>367</v>
      </c>
      <c r="I16">
        <v>1</v>
      </c>
      <c r="J16">
        <v>1233</v>
      </c>
    </row>
    <row r="17" spans="1:10" x14ac:dyDescent="0.25">
      <c r="A17" s="1" t="s">
        <v>232</v>
      </c>
      <c r="B17" s="1" t="s">
        <v>233</v>
      </c>
      <c r="C17" s="1" t="s">
        <v>229</v>
      </c>
      <c r="D17" s="1" t="s">
        <v>369</v>
      </c>
      <c r="E17">
        <v>1578</v>
      </c>
      <c r="F17" s="1" t="s">
        <v>12</v>
      </c>
      <c r="G17">
        <v>1</v>
      </c>
      <c r="H17" s="1" t="s">
        <v>367</v>
      </c>
      <c r="I17">
        <v>1</v>
      </c>
      <c r="J17">
        <v>1578</v>
      </c>
    </row>
    <row r="18" spans="1:10" x14ac:dyDescent="0.25">
      <c r="A18" s="1" t="s">
        <v>115</v>
      </c>
      <c r="B18" s="1" t="s">
        <v>116</v>
      </c>
      <c r="C18" s="1" t="s">
        <v>117</v>
      </c>
      <c r="D18" s="1" t="s">
        <v>363</v>
      </c>
      <c r="E18">
        <v>1136</v>
      </c>
      <c r="F18" s="1" t="s">
        <v>12</v>
      </c>
      <c r="G18">
        <v>1</v>
      </c>
      <c r="H18" s="1" t="s">
        <v>367</v>
      </c>
      <c r="I18">
        <v>1</v>
      </c>
      <c r="J18">
        <v>1136</v>
      </c>
    </row>
    <row r="19" spans="1:10" x14ac:dyDescent="0.25">
      <c r="A19" s="1" t="s">
        <v>234</v>
      </c>
      <c r="B19" s="1" t="s">
        <v>235</v>
      </c>
      <c r="C19" s="1" t="s">
        <v>236</v>
      </c>
      <c r="D19" s="1" t="s">
        <v>363</v>
      </c>
      <c r="E19">
        <v>1481</v>
      </c>
      <c r="F19" s="1" t="s">
        <v>12</v>
      </c>
      <c r="G19">
        <v>1</v>
      </c>
      <c r="H19" s="1" t="s">
        <v>367</v>
      </c>
      <c r="I19">
        <v>1</v>
      </c>
      <c r="J19">
        <v>1481</v>
      </c>
    </row>
    <row r="20" spans="1:10" x14ac:dyDescent="0.25">
      <c r="A20" s="1" t="s">
        <v>87</v>
      </c>
      <c r="B20" s="1" t="s">
        <v>88</v>
      </c>
      <c r="C20" s="1" t="s">
        <v>293</v>
      </c>
      <c r="D20" s="1" t="s">
        <v>363</v>
      </c>
      <c r="E20">
        <v>1.0669999999999999</v>
      </c>
      <c r="F20" s="1" t="s">
        <v>91</v>
      </c>
      <c r="G20">
        <v>1</v>
      </c>
      <c r="H20" s="1" t="s">
        <v>367</v>
      </c>
      <c r="I20">
        <v>1000</v>
      </c>
      <c r="J20">
        <v>1067</v>
      </c>
    </row>
    <row r="21" spans="1:10" x14ac:dyDescent="0.25">
      <c r="A21" s="1" t="s">
        <v>215</v>
      </c>
      <c r="B21" s="1" t="s">
        <v>216</v>
      </c>
      <c r="C21" s="1" t="s">
        <v>217</v>
      </c>
      <c r="D21" s="1" t="s">
        <v>363</v>
      </c>
      <c r="E21">
        <v>1412</v>
      </c>
      <c r="F21" s="1" t="s">
        <v>12</v>
      </c>
      <c r="G21">
        <v>1</v>
      </c>
      <c r="H21" s="1" t="s">
        <v>367</v>
      </c>
      <c r="I21">
        <v>1</v>
      </c>
      <c r="J21">
        <v>1412</v>
      </c>
    </row>
    <row r="22" spans="1:10" x14ac:dyDescent="0.25">
      <c r="A22" s="1" t="s">
        <v>119</v>
      </c>
      <c r="B22" s="1" t="s">
        <v>120</v>
      </c>
      <c r="C22" s="1" t="s">
        <v>117</v>
      </c>
      <c r="D22" s="1" t="s">
        <v>368</v>
      </c>
      <c r="E22">
        <v>1196</v>
      </c>
      <c r="F22" s="1" t="s">
        <v>12</v>
      </c>
      <c r="G22">
        <v>1</v>
      </c>
      <c r="H22" s="1" t="s">
        <v>367</v>
      </c>
      <c r="I22">
        <v>1</v>
      </c>
      <c r="J22">
        <v>1196</v>
      </c>
    </row>
    <row r="23" spans="1:10" x14ac:dyDescent="0.25">
      <c r="A23" s="1" t="s">
        <v>237</v>
      </c>
      <c r="B23" s="1" t="s">
        <v>238</v>
      </c>
      <c r="C23" s="1" t="s">
        <v>236</v>
      </c>
      <c r="D23" s="1" t="s">
        <v>368</v>
      </c>
      <c r="E23">
        <v>1541</v>
      </c>
      <c r="F23" s="1" t="s">
        <v>12</v>
      </c>
      <c r="G23">
        <v>1</v>
      </c>
      <c r="H23" s="1" t="s">
        <v>367</v>
      </c>
      <c r="I23">
        <v>1</v>
      </c>
      <c r="J23">
        <v>1541</v>
      </c>
    </row>
    <row r="24" spans="1:10" x14ac:dyDescent="0.25">
      <c r="A24" s="1" t="s">
        <v>125</v>
      </c>
      <c r="B24" s="1" t="s">
        <v>126</v>
      </c>
      <c r="C24" s="1" t="s">
        <v>127</v>
      </c>
      <c r="D24" s="1" t="s">
        <v>363</v>
      </c>
      <c r="E24">
        <v>1159</v>
      </c>
      <c r="F24" s="1" t="s">
        <v>12</v>
      </c>
      <c r="G24">
        <v>1</v>
      </c>
      <c r="H24" s="1" t="s">
        <v>367</v>
      </c>
      <c r="I24">
        <v>1</v>
      </c>
      <c r="J24">
        <v>1159</v>
      </c>
    </row>
    <row r="25" spans="1:10" x14ac:dyDescent="0.25">
      <c r="A25" s="1" t="s">
        <v>241</v>
      </c>
      <c r="B25" s="1" t="s">
        <v>242</v>
      </c>
      <c r="C25" s="1" t="s">
        <v>243</v>
      </c>
      <c r="D25" s="1" t="s">
        <v>363</v>
      </c>
      <c r="E25">
        <v>1504</v>
      </c>
      <c r="F25" s="1" t="s">
        <v>12</v>
      </c>
      <c r="G25">
        <v>1</v>
      </c>
      <c r="H25" s="1" t="s">
        <v>367</v>
      </c>
      <c r="I25">
        <v>1</v>
      </c>
      <c r="J25">
        <v>1504</v>
      </c>
    </row>
    <row r="26" spans="1:10" x14ac:dyDescent="0.25">
      <c r="A26" s="1" t="s">
        <v>129</v>
      </c>
      <c r="B26" s="1" t="s">
        <v>130</v>
      </c>
      <c r="C26" s="1" t="s">
        <v>127</v>
      </c>
      <c r="D26" s="1" t="s">
        <v>368</v>
      </c>
      <c r="E26">
        <v>1219</v>
      </c>
      <c r="F26" s="1" t="s">
        <v>12</v>
      </c>
      <c r="G26">
        <v>1</v>
      </c>
      <c r="H26" s="1" t="s">
        <v>367</v>
      </c>
      <c r="I26">
        <v>1</v>
      </c>
      <c r="J26">
        <v>1219</v>
      </c>
    </row>
    <row r="27" spans="1:10" x14ac:dyDescent="0.25">
      <c r="A27" s="1" t="s">
        <v>244</v>
      </c>
      <c r="B27" s="1" t="s">
        <v>245</v>
      </c>
      <c r="C27" s="1" t="s">
        <v>243</v>
      </c>
      <c r="D27" s="1" t="s">
        <v>368</v>
      </c>
      <c r="E27">
        <v>1564</v>
      </c>
      <c r="F27" s="1" t="s">
        <v>12</v>
      </c>
      <c r="G27">
        <v>1</v>
      </c>
      <c r="H27" s="1" t="s">
        <v>367</v>
      </c>
      <c r="I27">
        <v>1</v>
      </c>
      <c r="J27">
        <v>1564</v>
      </c>
    </row>
    <row r="28" spans="1:10" x14ac:dyDescent="0.25">
      <c r="A28" s="1" t="s">
        <v>132</v>
      </c>
      <c r="B28" s="1" t="s">
        <v>133</v>
      </c>
      <c r="C28" s="1" t="s">
        <v>127</v>
      </c>
      <c r="D28" s="1" t="s">
        <v>369</v>
      </c>
      <c r="E28">
        <v>1279</v>
      </c>
      <c r="F28" s="1" t="s">
        <v>12</v>
      </c>
      <c r="G28">
        <v>1</v>
      </c>
      <c r="H28" s="1" t="s">
        <v>367</v>
      </c>
      <c r="I28">
        <v>1</v>
      </c>
      <c r="J28">
        <v>1279</v>
      </c>
    </row>
    <row r="29" spans="1:10" x14ac:dyDescent="0.25">
      <c r="A29" s="1" t="s">
        <v>246</v>
      </c>
      <c r="B29" s="1" t="s">
        <v>247</v>
      </c>
      <c r="C29" s="1" t="s">
        <v>243</v>
      </c>
      <c r="D29" s="1" t="s">
        <v>369</v>
      </c>
      <c r="E29">
        <v>1624</v>
      </c>
      <c r="F29" s="1" t="s">
        <v>12</v>
      </c>
      <c r="G29">
        <v>1</v>
      </c>
      <c r="H29" s="1" t="s">
        <v>367</v>
      </c>
      <c r="I29">
        <v>1</v>
      </c>
      <c r="J29">
        <v>1624</v>
      </c>
    </row>
    <row r="30" spans="1:10" x14ac:dyDescent="0.25">
      <c r="A30" s="1" t="s">
        <v>135</v>
      </c>
      <c r="B30" s="1" t="s">
        <v>136</v>
      </c>
      <c r="C30" s="1" t="s">
        <v>137</v>
      </c>
      <c r="D30" s="1" t="s">
        <v>363</v>
      </c>
      <c r="E30">
        <v>1182</v>
      </c>
      <c r="F30" s="1" t="s">
        <v>12</v>
      </c>
      <c r="G30">
        <v>1</v>
      </c>
      <c r="H30" s="1" t="s">
        <v>367</v>
      </c>
      <c r="I30">
        <v>1</v>
      </c>
      <c r="J30">
        <v>1182</v>
      </c>
    </row>
    <row r="31" spans="1:10" x14ac:dyDescent="0.25">
      <c r="A31" s="1" t="s">
        <v>248</v>
      </c>
      <c r="B31" s="1" t="s">
        <v>249</v>
      </c>
      <c r="C31" s="1" t="s">
        <v>250</v>
      </c>
      <c r="D31" s="1" t="s">
        <v>363</v>
      </c>
      <c r="E31">
        <v>1527</v>
      </c>
      <c r="F31" s="1" t="s">
        <v>12</v>
      </c>
      <c r="G31">
        <v>1</v>
      </c>
      <c r="H31" s="1" t="s">
        <v>367</v>
      </c>
      <c r="I31">
        <v>1</v>
      </c>
      <c r="J31">
        <v>1527</v>
      </c>
    </row>
    <row r="32" spans="1:10" x14ac:dyDescent="0.25">
      <c r="A32" s="1" t="s">
        <v>139</v>
      </c>
      <c r="B32" s="1" t="s">
        <v>140</v>
      </c>
      <c r="C32" s="1" t="s">
        <v>137</v>
      </c>
      <c r="D32" s="1" t="s">
        <v>368</v>
      </c>
      <c r="E32">
        <v>1242</v>
      </c>
      <c r="F32" s="1" t="s">
        <v>12</v>
      </c>
      <c r="G32">
        <v>1</v>
      </c>
      <c r="H32" s="1" t="s">
        <v>367</v>
      </c>
      <c r="I32">
        <v>1</v>
      </c>
      <c r="J32">
        <v>1242</v>
      </c>
    </row>
    <row r="33" spans="1:10" x14ac:dyDescent="0.25">
      <c r="A33" s="1" t="s">
        <v>251</v>
      </c>
      <c r="B33" s="1" t="s">
        <v>252</v>
      </c>
      <c r="C33" s="1" t="s">
        <v>250</v>
      </c>
      <c r="D33" s="1" t="s">
        <v>368</v>
      </c>
      <c r="E33">
        <v>1587</v>
      </c>
      <c r="F33" s="1" t="s">
        <v>12</v>
      </c>
      <c r="G33">
        <v>1</v>
      </c>
      <c r="H33" s="1" t="s">
        <v>367</v>
      </c>
      <c r="I33">
        <v>1</v>
      </c>
      <c r="J33">
        <v>1587</v>
      </c>
    </row>
    <row r="34" spans="1:10" x14ac:dyDescent="0.25">
      <c r="A34" s="1" t="s">
        <v>142</v>
      </c>
      <c r="B34" s="1" t="s">
        <v>143</v>
      </c>
      <c r="C34" s="1" t="s">
        <v>137</v>
      </c>
      <c r="D34" s="1" t="s">
        <v>369</v>
      </c>
      <c r="E34">
        <v>1302</v>
      </c>
      <c r="F34" s="1" t="s">
        <v>12</v>
      </c>
      <c r="G34">
        <v>1</v>
      </c>
      <c r="H34" s="1" t="s">
        <v>367</v>
      </c>
      <c r="I34">
        <v>1</v>
      </c>
      <c r="J34">
        <v>1302</v>
      </c>
    </row>
    <row r="35" spans="1:10" x14ac:dyDescent="0.25">
      <c r="A35" s="1" t="s">
        <v>253</v>
      </c>
      <c r="B35" s="1" t="s">
        <v>254</v>
      </c>
      <c r="C35" s="1" t="s">
        <v>250</v>
      </c>
      <c r="D35" s="1" t="s">
        <v>369</v>
      </c>
      <c r="E35">
        <v>1647</v>
      </c>
      <c r="F35" s="1" t="s">
        <v>12</v>
      </c>
      <c r="G35">
        <v>1</v>
      </c>
      <c r="H35" s="1" t="s">
        <v>367</v>
      </c>
      <c r="I35">
        <v>1</v>
      </c>
      <c r="J35">
        <v>1647</v>
      </c>
    </row>
    <row r="36" spans="1:10" x14ac:dyDescent="0.25">
      <c r="A36" s="1" t="s">
        <v>145</v>
      </c>
      <c r="B36" s="1" t="s">
        <v>146</v>
      </c>
      <c r="C36" s="1" t="s">
        <v>147</v>
      </c>
      <c r="D36" s="1" t="s">
        <v>363</v>
      </c>
      <c r="E36">
        <v>1205</v>
      </c>
      <c r="F36" s="1" t="s">
        <v>12</v>
      </c>
      <c r="G36">
        <v>1</v>
      </c>
      <c r="H36" s="1" t="s">
        <v>367</v>
      </c>
      <c r="I36">
        <v>1</v>
      </c>
      <c r="J36">
        <v>1205</v>
      </c>
    </row>
    <row r="37" spans="1:10" x14ac:dyDescent="0.25">
      <c r="A37" s="1" t="s">
        <v>255</v>
      </c>
      <c r="B37" s="1" t="s">
        <v>256</v>
      </c>
      <c r="C37" s="1" t="s">
        <v>257</v>
      </c>
      <c r="D37" s="1" t="s">
        <v>363</v>
      </c>
      <c r="E37">
        <v>1550</v>
      </c>
      <c r="F37" s="1" t="s">
        <v>12</v>
      </c>
      <c r="G37">
        <v>1</v>
      </c>
      <c r="H37" s="1" t="s">
        <v>367</v>
      </c>
      <c r="I37">
        <v>1</v>
      </c>
      <c r="J37">
        <v>1550</v>
      </c>
    </row>
    <row r="38" spans="1:10" x14ac:dyDescent="0.25">
      <c r="A38" s="1" t="s">
        <v>149</v>
      </c>
      <c r="B38" s="1" t="s">
        <v>150</v>
      </c>
      <c r="C38" s="1" t="s">
        <v>147</v>
      </c>
      <c r="D38" s="1" t="s">
        <v>369</v>
      </c>
      <c r="E38">
        <v>1325</v>
      </c>
      <c r="F38" s="1" t="s">
        <v>12</v>
      </c>
      <c r="G38">
        <v>1</v>
      </c>
      <c r="H38" s="1" t="s">
        <v>367</v>
      </c>
      <c r="I38">
        <v>1</v>
      </c>
      <c r="J38">
        <v>1325</v>
      </c>
    </row>
    <row r="39" spans="1:10" x14ac:dyDescent="0.25">
      <c r="A39" s="1" t="s">
        <v>258</v>
      </c>
      <c r="B39" s="1" t="s">
        <v>259</v>
      </c>
      <c r="C39" s="1" t="s">
        <v>257</v>
      </c>
      <c r="D39" s="1" t="s">
        <v>368</v>
      </c>
      <c r="E39">
        <v>1610</v>
      </c>
      <c r="F39" s="1" t="s">
        <v>12</v>
      </c>
      <c r="G39">
        <v>1</v>
      </c>
      <c r="H39" s="1" t="s">
        <v>367</v>
      </c>
      <c r="I39">
        <v>1</v>
      </c>
      <c r="J39">
        <v>1610</v>
      </c>
    </row>
    <row r="40" spans="1:10" x14ac:dyDescent="0.25">
      <c r="A40" s="1" t="s">
        <v>122</v>
      </c>
      <c r="B40" s="1" t="s">
        <v>123</v>
      </c>
      <c r="C40" s="1" t="s">
        <v>117</v>
      </c>
      <c r="D40" s="1" t="s">
        <v>369</v>
      </c>
      <c r="E40">
        <v>1256</v>
      </c>
      <c r="F40" s="1" t="s">
        <v>12</v>
      </c>
      <c r="G40">
        <v>1</v>
      </c>
      <c r="H40" s="1" t="s">
        <v>367</v>
      </c>
      <c r="I40">
        <v>1</v>
      </c>
      <c r="J40">
        <v>1256</v>
      </c>
    </row>
    <row r="41" spans="1:10" x14ac:dyDescent="0.25">
      <c r="A41" s="1" t="s">
        <v>239</v>
      </c>
      <c r="B41" s="1" t="s">
        <v>240</v>
      </c>
      <c r="C41" s="1" t="s">
        <v>236</v>
      </c>
      <c r="D41" s="1" t="s">
        <v>369</v>
      </c>
      <c r="E41">
        <v>1601</v>
      </c>
      <c r="F41" s="1" t="s">
        <v>12</v>
      </c>
      <c r="G41">
        <v>1</v>
      </c>
      <c r="H41" s="1" t="s">
        <v>367</v>
      </c>
      <c r="I41">
        <v>1</v>
      </c>
      <c r="J41">
        <v>1601</v>
      </c>
    </row>
    <row r="42" spans="1:10" x14ac:dyDescent="0.25">
      <c r="A42" s="1" t="s">
        <v>84</v>
      </c>
      <c r="B42" s="1" t="s">
        <v>85</v>
      </c>
      <c r="C42" s="1" t="s">
        <v>79</v>
      </c>
      <c r="D42" s="1" t="s">
        <v>369</v>
      </c>
      <c r="E42">
        <v>1164</v>
      </c>
      <c r="F42" s="1" t="s">
        <v>12</v>
      </c>
      <c r="G42">
        <v>1</v>
      </c>
      <c r="H42" s="1" t="s">
        <v>367</v>
      </c>
      <c r="I42">
        <v>1</v>
      </c>
      <c r="J42">
        <v>1164</v>
      </c>
    </row>
    <row r="43" spans="1:10" x14ac:dyDescent="0.25">
      <c r="A43" s="1" t="s">
        <v>213</v>
      </c>
      <c r="B43" s="1" t="s">
        <v>214</v>
      </c>
      <c r="C43" s="1" t="s">
        <v>155</v>
      </c>
      <c r="D43" s="1" t="s">
        <v>369</v>
      </c>
      <c r="E43">
        <v>1509</v>
      </c>
      <c r="F43" s="1" t="s">
        <v>12</v>
      </c>
      <c r="G43">
        <v>1</v>
      </c>
      <c r="H43" s="1" t="s">
        <v>367</v>
      </c>
      <c r="I43">
        <v>1</v>
      </c>
      <c r="J43">
        <v>1509</v>
      </c>
    </row>
    <row r="44" spans="1:10" x14ac:dyDescent="0.25">
      <c r="A44" s="1" t="s">
        <v>81</v>
      </c>
      <c r="B44" s="1" t="s">
        <v>82</v>
      </c>
      <c r="C44" s="1" t="s">
        <v>79</v>
      </c>
      <c r="D44" s="1" t="s">
        <v>368</v>
      </c>
      <c r="E44">
        <v>1104</v>
      </c>
      <c r="F44" s="1" t="s">
        <v>12</v>
      </c>
      <c r="G44">
        <v>1</v>
      </c>
      <c r="H44" s="1" t="s">
        <v>367</v>
      </c>
      <c r="I44">
        <v>1</v>
      </c>
      <c r="J44">
        <v>1104</v>
      </c>
    </row>
    <row r="45" spans="1:10" x14ac:dyDescent="0.25">
      <c r="A45" s="1" t="s">
        <v>211</v>
      </c>
      <c r="B45" s="1" t="s">
        <v>212</v>
      </c>
      <c r="C45" s="1" t="s">
        <v>155</v>
      </c>
      <c r="D45" s="1" t="s">
        <v>368</v>
      </c>
      <c r="E45">
        <v>1449</v>
      </c>
      <c r="F45" s="1" t="s">
        <v>12</v>
      </c>
      <c r="G45">
        <v>1</v>
      </c>
      <c r="H45" s="1" t="s">
        <v>367</v>
      </c>
      <c r="I45">
        <v>1</v>
      </c>
      <c r="J45">
        <v>1449</v>
      </c>
    </row>
    <row r="46" spans="1:10" x14ac:dyDescent="0.25">
      <c r="A46" s="1" t="s">
        <v>77</v>
      </c>
      <c r="B46" s="1" t="s">
        <v>78</v>
      </c>
      <c r="C46" s="1" t="s">
        <v>79</v>
      </c>
      <c r="D46" s="1" t="s">
        <v>363</v>
      </c>
      <c r="E46">
        <v>1044</v>
      </c>
      <c r="F46" s="1" t="s">
        <v>12</v>
      </c>
      <c r="G46">
        <v>1</v>
      </c>
      <c r="H46" s="1" t="s">
        <v>367</v>
      </c>
      <c r="I46">
        <v>1</v>
      </c>
      <c r="J46">
        <v>1044</v>
      </c>
    </row>
    <row r="47" spans="1:10" x14ac:dyDescent="0.25">
      <c r="A47" s="1" t="s">
        <v>209</v>
      </c>
      <c r="B47" s="1" t="s">
        <v>210</v>
      </c>
      <c r="C47" s="1" t="s">
        <v>155</v>
      </c>
      <c r="D47" s="1" t="s">
        <v>363</v>
      </c>
      <c r="E47">
        <v>1389</v>
      </c>
      <c r="F47" s="1" t="s">
        <v>12</v>
      </c>
      <c r="G47">
        <v>1</v>
      </c>
      <c r="H47" s="1" t="s">
        <v>367</v>
      </c>
      <c r="I47">
        <v>1</v>
      </c>
      <c r="J47">
        <v>1389</v>
      </c>
    </row>
    <row r="48" spans="1:10" x14ac:dyDescent="0.25">
      <c r="A48" s="1" t="s">
        <v>13</v>
      </c>
      <c r="B48" s="1" t="s">
        <v>14</v>
      </c>
      <c r="C48" s="1" t="s">
        <v>15</v>
      </c>
      <c r="D48" s="1" t="s">
        <v>363</v>
      </c>
      <c r="E48">
        <v>883</v>
      </c>
      <c r="F48" s="1" t="s">
        <v>12</v>
      </c>
      <c r="G48">
        <v>1</v>
      </c>
      <c r="H48" s="1" t="s">
        <v>367</v>
      </c>
      <c r="I48">
        <v>1</v>
      </c>
      <c r="J48">
        <v>883</v>
      </c>
    </row>
    <row r="49" spans="1:10" x14ac:dyDescent="0.25">
      <c r="A49" s="1" t="s">
        <v>164</v>
      </c>
      <c r="B49" s="1" t="s">
        <v>165</v>
      </c>
      <c r="C49" s="1" t="s">
        <v>163</v>
      </c>
      <c r="D49" s="1" t="s">
        <v>363</v>
      </c>
      <c r="E49">
        <v>1228</v>
      </c>
      <c r="F49" s="1" t="s">
        <v>12</v>
      </c>
      <c r="G49">
        <v>1</v>
      </c>
      <c r="H49" s="1" t="s">
        <v>367</v>
      </c>
      <c r="I49">
        <v>1</v>
      </c>
      <c r="J49">
        <v>1228</v>
      </c>
    </row>
    <row r="50" spans="1:10" x14ac:dyDescent="0.25">
      <c r="A50" s="1" t="s">
        <v>17</v>
      </c>
      <c r="B50" s="1" t="s">
        <v>18</v>
      </c>
      <c r="C50" s="1" t="s">
        <v>15</v>
      </c>
      <c r="D50" s="1" t="s">
        <v>368</v>
      </c>
      <c r="E50">
        <v>943</v>
      </c>
      <c r="F50" s="1" t="s">
        <v>12</v>
      </c>
      <c r="G50">
        <v>1</v>
      </c>
      <c r="H50" s="1" t="s">
        <v>367</v>
      </c>
      <c r="I50">
        <v>1</v>
      </c>
      <c r="J50">
        <v>943</v>
      </c>
    </row>
    <row r="51" spans="1:10" x14ac:dyDescent="0.25">
      <c r="A51" s="1" t="s">
        <v>166</v>
      </c>
      <c r="B51" s="1" t="s">
        <v>167</v>
      </c>
      <c r="C51" s="1" t="s">
        <v>163</v>
      </c>
      <c r="D51" s="1" t="s">
        <v>368</v>
      </c>
      <c r="E51">
        <v>1288</v>
      </c>
      <c r="F51" s="1" t="s">
        <v>12</v>
      </c>
      <c r="G51">
        <v>1</v>
      </c>
      <c r="H51" s="1" t="s">
        <v>367</v>
      </c>
      <c r="I51">
        <v>1</v>
      </c>
      <c r="J51">
        <v>1288</v>
      </c>
    </row>
    <row r="52" spans="1:10" x14ac:dyDescent="0.25">
      <c r="A52" s="1" t="s">
        <v>20</v>
      </c>
      <c r="B52" s="1" t="s">
        <v>21</v>
      </c>
      <c r="C52" s="1" t="s">
        <v>15</v>
      </c>
      <c r="D52" s="1" t="s">
        <v>369</v>
      </c>
      <c r="E52">
        <v>1003</v>
      </c>
      <c r="F52" s="1" t="s">
        <v>12</v>
      </c>
      <c r="G52">
        <v>1</v>
      </c>
      <c r="H52" s="1" t="s">
        <v>367</v>
      </c>
      <c r="I52">
        <v>1</v>
      </c>
      <c r="J52">
        <v>1003</v>
      </c>
    </row>
    <row r="53" spans="1:10" x14ac:dyDescent="0.25">
      <c r="A53" s="1" t="s">
        <v>169</v>
      </c>
      <c r="B53" s="1" t="s">
        <v>170</v>
      </c>
      <c r="C53" s="1" t="s">
        <v>171</v>
      </c>
      <c r="D53" s="1" t="s">
        <v>363</v>
      </c>
      <c r="E53">
        <v>1251</v>
      </c>
      <c r="F53" s="1" t="s">
        <v>12</v>
      </c>
      <c r="G53">
        <v>1</v>
      </c>
      <c r="H53" s="1" t="s">
        <v>367</v>
      </c>
      <c r="I53">
        <v>1</v>
      </c>
      <c r="J53">
        <v>1251</v>
      </c>
    </row>
    <row r="54" spans="1:10" x14ac:dyDescent="0.25">
      <c r="A54" s="1" t="s">
        <v>25</v>
      </c>
      <c r="B54" s="1" t="s">
        <v>26</v>
      </c>
      <c r="C54" s="1" t="s">
        <v>10</v>
      </c>
      <c r="D54" s="1" t="s">
        <v>368</v>
      </c>
      <c r="E54">
        <v>966</v>
      </c>
      <c r="F54" s="1" t="s">
        <v>12</v>
      </c>
      <c r="G54">
        <v>1</v>
      </c>
      <c r="H54" s="1" t="s">
        <v>367</v>
      </c>
      <c r="I54">
        <v>1</v>
      </c>
      <c r="J54">
        <v>966</v>
      </c>
    </row>
    <row r="55" spans="1:10" x14ac:dyDescent="0.25">
      <c r="A55" s="1" t="s">
        <v>172</v>
      </c>
      <c r="B55" s="1" t="s">
        <v>173</v>
      </c>
      <c r="C55" s="1" t="s">
        <v>171</v>
      </c>
      <c r="D55" s="1" t="s">
        <v>368</v>
      </c>
      <c r="E55">
        <v>1311</v>
      </c>
      <c r="F55" s="1" t="s">
        <v>12</v>
      </c>
      <c r="G55">
        <v>1</v>
      </c>
      <c r="H55" s="1" t="s">
        <v>367</v>
      </c>
      <c r="I55">
        <v>1</v>
      </c>
      <c r="J55">
        <v>1311</v>
      </c>
    </row>
    <row r="56" spans="1:10" x14ac:dyDescent="0.25">
      <c r="A56" s="1" t="s">
        <v>28</v>
      </c>
      <c r="B56" s="1" t="s">
        <v>29</v>
      </c>
      <c r="C56" s="1" t="s">
        <v>10</v>
      </c>
      <c r="D56" s="1" t="s">
        <v>369</v>
      </c>
      <c r="E56">
        <v>1026</v>
      </c>
      <c r="F56" s="1" t="s">
        <v>12</v>
      </c>
      <c r="G56">
        <v>1</v>
      </c>
      <c r="H56" s="1" t="s">
        <v>367</v>
      </c>
      <c r="I56">
        <v>1</v>
      </c>
      <c r="J56">
        <v>1026</v>
      </c>
    </row>
    <row r="57" spans="1:10" x14ac:dyDescent="0.25">
      <c r="A57" s="1" t="s">
        <v>174</v>
      </c>
      <c r="B57" s="1" t="s">
        <v>175</v>
      </c>
      <c r="C57" s="1" t="s">
        <v>171</v>
      </c>
      <c r="D57" s="1" t="s">
        <v>369</v>
      </c>
      <c r="E57">
        <v>1371</v>
      </c>
      <c r="F57" s="1" t="s">
        <v>12</v>
      </c>
      <c r="G57">
        <v>1</v>
      </c>
      <c r="H57" s="1" t="s">
        <v>367</v>
      </c>
      <c r="I57">
        <v>1</v>
      </c>
      <c r="J57">
        <v>1371</v>
      </c>
    </row>
    <row r="58" spans="1:10" x14ac:dyDescent="0.25">
      <c r="A58" s="1" t="s">
        <v>30</v>
      </c>
      <c r="B58" s="1" t="s">
        <v>31</v>
      </c>
      <c r="C58" s="1" t="s">
        <v>32</v>
      </c>
      <c r="D58" s="1" t="s">
        <v>363</v>
      </c>
      <c r="E58">
        <v>929</v>
      </c>
      <c r="F58" s="1" t="s">
        <v>12</v>
      </c>
      <c r="G58">
        <v>1</v>
      </c>
      <c r="H58" s="1" t="s">
        <v>367</v>
      </c>
      <c r="I58">
        <v>1</v>
      </c>
      <c r="J58">
        <v>929</v>
      </c>
    </row>
    <row r="59" spans="1:10" x14ac:dyDescent="0.25">
      <c r="A59" s="1" t="s">
        <v>176</v>
      </c>
      <c r="B59" s="1" t="s">
        <v>177</v>
      </c>
      <c r="C59" s="1" t="s">
        <v>178</v>
      </c>
      <c r="D59" s="1" t="s">
        <v>363</v>
      </c>
      <c r="E59">
        <v>1274</v>
      </c>
      <c r="F59" s="1" t="s">
        <v>12</v>
      </c>
      <c r="G59">
        <v>1</v>
      </c>
      <c r="H59" s="1" t="s">
        <v>367</v>
      </c>
      <c r="I59">
        <v>1</v>
      </c>
      <c r="J59">
        <v>1274</v>
      </c>
    </row>
    <row r="60" spans="1:10" x14ac:dyDescent="0.25">
      <c r="A60" s="1" t="s">
        <v>34</v>
      </c>
      <c r="B60" s="1" t="s">
        <v>35</v>
      </c>
      <c r="C60" s="1" t="s">
        <v>32</v>
      </c>
      <c r="D60" s="1" t="s">
        <v>369</v>
      </c>
      <c r="E60">
        <v>1049</v>
      </c>
      <c r="F60" s="1" t="s">
        <v>12</v>
      </c>
      <c r="G60">
        <v>1</v>
      </c>
      <c r="H60" s="1" t="s">
        <v>367</v>
      </c>
      <c r="I60">
        <v>1</v>
      </c>
      <c r="J60">
        <v>1049</v>
      </c>
    </row>
    <row r="61" spans="1:10" x14ac:dyDescent="0.25">
      <c r="A61" s="1" t="s">
        <v>179</v>
      </c>
      <c r="B61" s="1" t="s">
        <v>180</v>
      </c>
      <c r="C61" s="1" t="s">
        <v>178</v>
      </c>
      <c r="D61" s="1" t="s">
        <v>368</v>
      </c>
      <c r="E61">
        <v>1334</v>
      </c>
      <c r="F61" s="1" t="s">
        <v>12</v>
      </c>
      <c r="G61">
        <v>1</v>
      </c>
      <c r="H61" s="1" t="s">
        <v>367</v>
      </c>
      <c r="I61">
        <v>1</v>
      </c>
      <c r="J61">
        <v>1334</v>
      </c>
    </row>
    <row r="62" spans="1:10" x14ac:dyDescent="0.25">
      <c r="A62" s="1" t="s">
        <v>37</v>
      </c>
      <c r="B62" s="1" t="s">
        <v>38</v>
      </c>
      <c r="C62" s="1" t="s">
        <v>39</v>
      </c>
      <c r="D62" s="1" t="s">
        <v>363</v>
      </c>
      <c r="E62">
        <v>952</v>
      </c>
      <c r="F62" s="1" t="s">
        <v>12</v>
      </c>
      <c r="G62">
        <v>1</v>
      </c>
      <c r="H62" s="1" t="s">
        <v>367</v>
      </c>
      <c r="I62">
        <v>1</v>
      </c>
      <c r="J62">
        <v>952</v>
      </c>
    </row>
    <row r="63" spans="1:10" x14ac:dyDescent="0.25">
      <c r="A63" s="1" t="s">
        <v>181</v>
      </c>
      <c r="B63" s="1" t="s">
        <v>182</v>
      </c>
      <c r="C63" s="1" t="s">
        <v>183</v>
      </c>
      <c r="D63" s="1" t="s">
        <v>363</v>
      </c>
      <c r="E63">
        <v>1297</v>
      </c>
      <c r="F63" s="1" t="s">
        <v>12</v>
      </c>
      <c r="G63">
        <v>1</v>
      </c>
      <c r="H63" s="1" t="s">
        <v>367</v>
      </c>
      <c r="I63">
        <v>1</v>
      </c>
      <c r="J63">
        <v>1297</v>
      </c>
    </row>
    <row r="64" spans="1:10" x14ac:dyDescent="0.25">
      <c r="A64" s="1" t="s">
        <v>41</v>
      </c>
      <c r="B64" s="1" t="s">
        <v>42</v>
      </c>
      <c r="C64" s="1" t="s">
        <v>39</v>
      </c>
      <c r="D64" s="1" t="s">
        <v>368</v>
      </c>
      <c r="E64">
        <v>1012</v>
      </c>
      <c r="F64" s="1" t="s">
        <v>12</v>
      </c>
      <c r="G64">
        <v>1</v>
      </c>
      <c r="H64" s="1" t="s">
        <v>367</v>
      </c>
      <c r="I64">
        <v>1</v>
      </c>
      <c r="J64">
        <v>1012</v>
      </c>
    </row>
    <row r="65" spans="1:10" x14ac:dyDescent="0.25">
      <c r="A65" s="1" t="s">
        <v>184</v>
      </c>
      <c r="B65" s="1" t="s">
        <v>185</v>
      </c>
      <c r="C65" s="1" t="s">
        <v>183</v>
      </c>
      <c r="D65" s="1" t="s">
        <v>368</v>
      </c>
      <c r="E65">
        <v>1357</v>
      </c>
      <c r="F65" s="1" t="s">
        <v>12</v>
      </c>
      <c r="G65">
        <v>1</v>
      </c>
      <c r="H65" s="1" t="s">
        <v>367</v>
      </c>
      <c r="I65">
        <v>1</v>
      </c>
      <c r="J65">
        <v>1357</v>
      </c>
    </row>
    <row r="66" spans="1:10" x14ac:dyDescent="0.25">
      <c r="A66" s="1" t="s">
        <v>44</v>
      </c>
      <c r="B66" s="1" t="s">
        <v>45</v>
      </c>
      <c r="C66" s="1" t="s">
        <v>39</v>
      </c>
      <c r="D66" s="1" t="s">
        <v>369</v>
      </c>
      <c r="E66">
        <v>1072</v>
      </c>
      <c r="F66" s="1" t="s">
        <v>12</v>
      </c>
      <c r="G66">
        <v>1</v>
      </c>
      <c r="H66" s="1" t="s">
        <v>367</v>
      </c>
      <c r="I66">
        <v>1</v>
      </c>
      <c r="J66">
        <v>1072</v>
      </c>
    </row>
    <row r="67" spans="1:10" x14ac:dyDescent="0.25">
      <c r="A67" s="1" t="s">
        <v>186</v>
      </c>
      <c r="B67" s="1" t="s">
        <v>187</v>
      </c>
      <c r="C67" s="1" t="s">
        <v>183</v>
      </c>
      <c r="D67" s="1" t="s">
        <v>369</v>
      </c>
      <c r="E67">
        <v>1.417</v>
      </c>
      <c r="F67" s="1" t="s">
        <v>91</v>
      </c>
      <c r="G67">
        <v>1</v>
      </c>
      <c r="H67" s="1" t="s">
        <v>367</v>
      </c>
      <c r="I67">
        <v>1000</v>
      </c>
      <c r="J67">
        <v>1417</v>
      </c>
    </row>
    <row r="68" spans="1:10" x14ac:dyDescent="0.25">
      <c r="A68" s="1" t="s">
        <v>47</v>
      </c>
      <c r="B68" s="1" t="s">
        <v>48</v>
      </c>
      <c r="C68" s="1" t="s">
        <v>49</v>
      </c>
      <c r="D68" s="1" t="s">
        <v>363</v>
      </c>
      <c r="E68">
        <v>975</v>
      </c>
      <c r="F68" s="1" t="s">
        <v>12</v>
      </c>
      <c r="G68">
        <v>1</v>
      </c>
      <c r="H68" s="1" t="s">
        <v>367</v>
      </c>
      <c r="I68">
        <v>1</v>
      </c>
      <c r="J68">
        <v>975</v>
      </c>
    </row>
    <row r="69" spans="1:10" x14ac:dyDescent="0.25">
      <c r="A69" s="1" t="s">
        <v>188</v>
      </c>
      <c r="B69" s="1" t="s">
        <v>189</v>
      </c>
      <c r="C69" s="1" t="s">
        <v>190</v>
      </c>
      <c r="D69" s="1" t="s">
        <v>363</v>
      </c>
      <c r="E69">
        <v>1320</v>
      </c>
      <c r="F69" s="1" t="s">
        <v>12</v>
      </c>
      <c r="G69">
        <v>1</v>
      </c>
      <c r="H69" s="1" t="s">
        <v>367</v>
      </c>
      <c r="I69">
        <v>1</v>
      </c>
      <c r="J69">
        <v>1320</v>
      </c>
    </row>
    <row r="70" spans="1:10" x14ac:dyDescent="0.25">
      <c r="A70" s="1" t="s">
        <v>51</v>
      </c>
      <c r="B70" s="1" t="s">
        <v>52</v>
      </c>
      <c r="C70" s="1" t="s">
        <v>49</v>
      </c>
      <c r="D70" s="1" t="s">
        <v>368</v>
      </c>
      <c r="E70">
        <v>1035</v>
      </c>
      <c r="F70" s="1" t="s">
        <v>12</v>
      </c>
      <c r="G70">
        <v>1</v>
      </c>
      <c r="H70" s="1" t="s">
        <v>367</v>
      </c>
      <c r="I70">
        <v>1</v>
      </c>
      <c r="J70">
        <v>1035</v>
      </c>
    </row>
    <row r="71" spans="1:10" x14ac:dyDescent="0.25">
      <c r="A71" s="1" t="s">
        <v>191</v>
      </c>
      <c r="B71" s="1" t="s">
        <v>192</v>
      </c>
      <c r="C71" s="1" t="s">
        <v>190</v>
      </c>
      <c r="D71" s="1" t="s">
        <v>368</v>
      </c>
      <c r="E71">
        <v>1380</v>
      </c>
      <c r="F71" s="1" t="s">
        <v>12</v>
      </c>
      <c r="G71">
        <v>1</v>
      </c>
      <c r="H71" s="1" t="s">
        <v>367</v>
      </c>
      <c r="I71">
        <v>1</v>
      </c>
      <c r="J71">
        <v>1380</v>
      </c>
    </row>
    <row r="72" spans="1:10" x14ac:dyDescent="0.25">
      <c r="A72" s="1" t="s">
        <v>54</v>
      </c>
      <c r="B72" s="1" t="s">
        <v>55</v>
      </c>
      <c r="C72" s="1" t="s">
        <v>49</v>
      </c>
      <c r="D72" s="1" t="s">
        <v>369</v>
      </c>
      <c r="E72">
        <v>1095</v>
      </c>
      <c r="F72" s="1" t="s">
        <v>12</v>
      </c>
      <c r="G72">
        <v>1</v>
      </c>
      <c r="H72" s="1" t="s">
        <v>367</v>
      </c>
      <c r="I72">
        <v>1</v>
      </c>
      <c r="J72">
        <v>1095</v>
      </c>
    </row>
    <row r="73" spans="1:10" x14ac:dyDescent="0.25">
      <c r="A73" s="1" t="s">
        <v>193</v>
      </c>
      <c r="B73" s="1" t="s">
        <v>194</v>
      </c>
      <c r="C73" s="1" t="s">
        <v>190</v>
      </c>
      <c r="D73" s="1" t="s">
        <v>369</v>
      </c>
      <c r="E73">
        <v>1440</v>
      </c>
      <c r="F73" s="1" t="s">
        <v>12</v>
      </c>
      <c r="G73">
        <v>1</v>
      </c>
      <c r="H73" s="1" t="s">
        <v>367</v>
      </c>
      <c r="I73">
        <v>1</v>
      </c>
      <c r="J73">
        <v>1440</v>
      </c>
    </row>
    <row r="74" spans="1:10" x14ac:dyDescent="0.25">
      <c r="A74" s="1" t="s">
        <v>57</v>
      </c>
      <c r="B74" s="1" t="s">
        <v>58</v>
      </c>
      <c r="C74" s="1" t="s">
        <v>59</v>
      </c>
      <c r="D74" s="1" t="s">
        <v>363</v>
      </c>
      <c r="E74">
        <v>998</v>
      </c>
      <c r="F74" s="1" t="s">
        <v>12</v>
      </c>
      <c r="G74">
        <v>1</v>
      </c>
      <c r="H74" s="1" t="s">
        <v>367</v>
      </c>
      <c r="I74">
        <v>1</v>
      </c>
      <c r="J74">
        <v>998</v>
      </c>
    </row>
    <row r="75" spans="1:10" x14ac:dyDescent="0.25">
      <c r="A75" s="1" t="s">
        <v>195</v>
      </c>
      <c r="B75" s="1" t="s">
        <v>196</v>
      </c>
      <c r="C75" s="1" t="s">
        <v>306</v>
      </c>
      <c r="D75" s="1" t="s">
        <v>363</v>
      </c>
      <c r="E75">
        <v>1343</v>
      </c>
      <c r="F75" s="1" t="s">
        <v>12</v>
      </c>
      <c r="G75">
        <v>1</v>
      </c>
      <c r="H75" s="1" t="s">
        <v>367</v>
      </c>
      <c r="I75">
        <v>1</v>
      </c>
      <c r="J75">
        <v>1343</v>
      </c>
    </row>
    <row r="76" spans="1:10" x14ac:dyDescent="0.25">
      <c r="A76" s="1" t="s">
        <v>61</v>
      </c>
      <c r="B76" s="1" t="s">
        <v>62</v>
      </c>
      <c r="C76" s="1" t="s">
        <v>59</v>
      </c>
      <c r="D76" s="1" t="s">
        <v>368</v>
      </c>
      <c r="E76">
        <v>0</v>
      </c>
      <c r="F76" s="1" t="s">
        <v>12</v>
      </c>
      <c r="G76">
        <v>1</v>
      </c>
      <c r="H76" s="1" t="s">
        <v>367</v>
      </c>
      <c r="I76">
        <v>1</v>
      </c>
      <c r="J76">
        <v>0</v>
      </c>
    </row>
    <row r="77" spans="1:10" x14ac:dyDescent="0.25">
      <c r="A77" s="1" t="s">
        <v>198</v>
      </c>
      <c r="B77" s="1" t="s">
        <v>199</v>
      </c>
      <c r="C77" s="1" t="s">
        <v>306</v>
      </c>
      <c r="D77" s="1" t="s">
        <v>368</v>
      </c>
      <c r="E77">
        <v>1403</v>
      </c>
      <c r="F77" s="1" t="s">
        <v>12</v>
      </c>
      <c r="G77">
        <v>1</v>
      </c>
      <c r="H77" s="1" t="s">
        <v>367</v>
      </c>
      <c r="I77">
        <v>1</v>
      </c>
      <c r="J77">
        <v>1403</v>
      </c>
    </row>
    <row r="78" spans="1:10" x14ac:dyDescent="0.25">
      <c r="A78" s="1" t="s">
        <v>64</v>
      </c>
      <c r="B78" s="1" t="s">
        <v>65</v>
      </c>
      <c r="C78" s="1" t="s">
        <v>59</v>
      </c>
      <c r="D78" s="1" t="s">
        <v>369</v>
      </c>
      <c r="E78">
        <v>1118</v>
      </c>
      <c r="F78" s="1" t="s">
        <v>12</v>
      </c>
      <c r="G78">
        <v>1</v>
      </c>
      <c r="H78" s="1" t="s">
        <v>367</v>
      </c>
      <c r="I78">
        <v>1</v>
      </c>
      <c r="J78">
        <v>1118</v>
      </c>
    </row>
    <row r="79" spans="1:10" x14ac:dyDescent="0.25">
      <c r="A79" s="1" t="s">
        <v>200</v>
      </c>
      <c r="B79" s="1" t="s">
        <v>201</v>
      </c>
      <c r="C79" s="1" t="s">
        <v>306</v>
      </c>
      <c r="D79" s="1" t="s">
        <v>369</v>
      </c>
      <c r="E79">
        <v>1463</v>
      </c>
      <c r="F79" s="1" t="s">
        <v>12</v>
      </c>
      <c r="G79">
        <v>1</v>
      </c>
      <c r="H79" s="1" t="s">
        <v>367</v>
      </c>
      <c r="I79">
        <v>1</v>
      </c>
      <c r="J79">
        <v>1463</v>
      </c>
    </row>
    <row r="80" spans="1:10" x14ac:dyDescent="0.25">
      <c r="A80" s="1" t="s">
        <v>67</v>
      </c>
      <c r="B80" s="1" t="s">
        <v>68</v>
      </c>
      <c r="C80" s="1" t="s">
        <v>69</v>
      </c>
      <c r="D80" s="1" t="s">
        <v>363</v>
      </c>
      <c r="E80">
        <v>1021</v>
      </c>
      <c r="F80" s="1" t="s">
        <v>12</v>
      </c>
      <c r="G80">
        <v>1</v>
      </c>
      <c r="H80" s="1" t="s">
        <v>367</v>
      </c>
      <c r="I80">
        <v>1</v>
      </c>
      <c r="J80">
        <v>1021</v>
      </c>
    </row>
    <row r="81" spans="1:10" x14ac:dyDescent="0.25">
      <c r="A81" s="1" t="s">
        <v>202</v>
      </c>
      <c r="B81" s="1" t="s">
        <v>203</v>
      </c>
      <c r="C81" s="1" t="s">
        <v>204</v>
      </c>
      <c r="D81" s="1" t="s">
        <v>363</v>
      </c>
      <c r="E81">
        <v>1366</v>
      </c>
      <c r="F81" s="1" t="s">
        <v>12</v>
      </c>
      <c r="G81">
        <v>1</v>
      </c>
      <c r="H81" s="1" t="s">
        <v>367</v>
      </c>
      <c r="I81">
        <v>1</v>
      </c>
      <c r="J81">
        <v>1366</v>
      </c>
    </row>
    <row r="82" spans="1:10" x14ac:dyDescent="0.25">
      <c r="A82" s="1" t="s">
        <v>71</v>
      </c>
      <c r="B82" s="1" t="s">
        <v>72</v>
      </c>
      <c r="C82" s="1" t="s">
        <v>69</v>
      </c>
      <c r="D82" s="1" t="s">
        <v>368</v>
      </c>
      <c r="E82">
        <v>1081</v>
      </c>
      <c r="F82" s="1" t="s">
        <v>12</v>
      </c>
      <c r="G82">
        <v>1</v>
      </c>
      <c r="H82" s="1" t="s">
        <v>367</v>
      </c>
      <c r="I82">
        <v>1</v>
      </c>
      <c r="J82">
        <v>1081</v>
      </c>
    </row>
    <row r="83" spans="1:10" x14ac:dyDescent="0.25">
      <c r="A83" s="1" t="s">
        <v>205</v>
      </c>
      <c r="B83" s="1" t="s">
        <v>206</v>
      </c>
      <c r="C83" s="1" t="s">
        <v>204</v>
      </c>
      <c r="D83" s="1" t="s">
        <v>368</v>
      </c>
      <c r="E83">
        <v>1426</v>
      </c>
      <c r="F83" s="1" t="s">
        <v>12</v>
      </c>
      <c r="G83">
        <v>1</v>
      </c>
      <c r="H83" s="1" t="s">
        <v>367</v>
      </c>
      <c r="I83">
        <v>1</v>
      </c>
      <c r="J83">
        <v>1426</v>
      </c>
    </row>
    <row r="84" spans="1:10" x14ac:dyDescent="0.25">
      <c r="A84" s="1" t="s">
        <v>74</v>
      </c>
      <c r="B84" s="1" t="s">
        <v>75</v>
      </c>
      <c r="C84" s="1" t="s">
        <v>69</v>
      </c>
      <c r="D84" s="1" t="s">
        <v>369</v>
      </c>
      <c r="E84">
        <v>1141</v>
      </c>
      <c r="F84" s="1" t="s">
        <v>12</v>
      </c>
      <c r="G84">
        <v>1</v>
      </c>
      <c r="H84" s="1" t="s">
        <v>367</v>
      </c>
      <c r="I84">
        <v>1</v>
      </c>
      <c r="J84">
        <v>1141</v>
      </c>
    </row>
    <row r="85" spans="1:10" x14ac:dyDescent="0.25">
      <c r="A85" s="1" t="s">
        <v>207</v>
      </c>
      <c r="B85" s="1" t="s">
        <v>208</v>
      </c>
      <c r="C85" s="1" t="s">
        <v>204</v>
      </c>
      <c r="D85" s="1" t="s">
        <v>369</v>
      </c>
      <c r="E85">
        <v>1486</v>
      </c>
      <c r="F85" s="1" t="s">
        <v>12</v>
      </c>
      <c r="G85">
        <v>1</v>
      </c>
      <c r="H85" s="1" t="s">
        <v>367</v>
      </c>
      <c r="I85">
        <v>1</v>
      </c>
      <c r="J85">
        <v>1486</v>
      </c>
    </row>
    <row r="86" spans="1:10" x14ac:dyDescent="0.25">
      <c r="A86" s="1" t="s">
        <v>153</v>
      </c>
      <c r="B86" s="1" t="s">
        <v>154</v>
      </c>
      <c r="C86" s="1" t="s">
        <v>155</v>
      </c>
      <c r="D86" s="1" t="s">
        <v>368</v>
      </c>
      <c r="E86">
        <v>1549</v>
      </c>
      <c r="F86" s="1" t="s">
        <v>12</v>
      </c>
      <c r="G86">
        <v>1</v>
      </c>
      <c r="H86" s="1" t="s">
        <v>367</v>
      </c>
      <c r="I86">
        <v>1</v>
      </c>
      <c r="J86">
        <v>1549</v>
      </c>
    </row>
    <row r="87" spans="1:10" x14ac:dyDescent="0.25">
      <c r="A87" s="1" t="s">
        <v>260</v>
      </c>
      <c r="B87" s="1" t="s">
        <v>261</v>
      </c>
      <c r="C87" s="1" t="s">
        <v>257</v>
      </c>
      <c r="D87" s="1" t="s">
        <v>369</v>
      </c>
      <c r="E87">
        <v>1670</v>
      </c>
      <c r="F87" s="1" t="s">
        <v>12</v>
      </c>
      <c r="G87">
        <v>1</v>
      </c>
      <c r="H87" s="1" t="s">
        <v>367</v>
      </c>
      <c r="I87">
        <v>1</v>
      </c>
      <c r="J87">
        <v>1670</v>
      </c>
    </row>
    <row r="88" spans="1:10" x14ac:dyDescent="0.25">
      <c r="A88" s="1" t="s">
        <v>157</v>
      </c>
      <c r="B88" s="1" t="s">
        <v>158</v>
      </c>
      <c r="C88" s="1" t="s">
        <v>159</v>
      </c>
      <c r="D88" s="1" t="s">
        <v>363</v>
      </c>
      <c r="E88">
        <v>300</v>
      </c>
      <c r="F88" s="1" t="s">
        <v>12</v>
      </c>
      <c r="G88">
        <v>1</v>
      </c>
      <c r="H88" s="1" t="s">
        <v>367</v>
      </c>
      <c r="I88">
        <v>1</v>
      </c>
      <c r="J88">
        <v>300</v>
      </c>
    </row>
    <row r="89" spans="1:10" x14ac:dyDescent="0.25">
      <c r="A89" s="1" t="s">
        <v>262</v>
      </c>
      <c r="B89" s="1" t="s">
        <v>263</v>
      </c>
      <c r="C89" s="1" t="s">
        <v>69</v>
      </c>
      <c r="D89" s="1" t="s">
        <v>369</v>
      </c>
      <c r="E89">
        <v>1216</v>
      </c>
      <c r="F89" s="1" t="s">
        <v>12</v>
      </c>
      <c r="G89">
        <v>1</v>
      </c>
      <c r="H89" s="1" t="s">
        <v>367</v>
      </c>
      <c r="I89">
        <v>1</v>
      </c>
      <c r="J89">
        <v>1216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357B4A-45F3-48EF-81C0-B13F728C81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Zestawienie i wnioski</vt:lpstr>
      <vt:lpstr>esg_final</vt:lpstr>
      <vt:lpstr>lokalizacje</vt:lpstr>
      <vt:lpstr>historia_zmian</vt:lpstr>
      <vt:lpstr>dostawca_B</vt:lpstr>
      <vt:lpstr>dostawca_A</vt:lpstr>
      <vt:lpstr>odczyty_czyste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Sikorski</dc:creator>
  <cp:lastModifiedBy>Szymon Sikorski</cp:lastModifiedBy>
  <dcterms:created xsi:type="dcterms:W3CDTF">2026-10-25T17:53:51Z</dcterms:created>
  <dcterms:modified xsi:type="dcterms:W3CDTF">2026-10-26T09:35:39Z</dcterms:modified>
</cp:coreProperties>
</file>